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hinav\Downloads\"/>
    </mc:Choice>
  </mc:AlternateContent>
  <xr:revisionPtr revIDLastSave="0" documentId="8_{9050349B-3E74-4DE1-9F91-517910BAAC39}" xr6:coauthVersionLast="47" xr6:coauthVersionMax="47" xr10:uidLastSave="{00000000-0000-0000-0000-000000000000}"/>
  <bookViews>
    <workbookView xWindow="-108" yWindow="-108" windowWidth="23256" windowHeight="12456" activeTab="1" xr2:uid="{00000000-000D-0000-FFFF-FFFF00000000}"/>
  </bookViews>
  <sheets>
    <sheet name="pivottable" sheetId="1" r:id="rId1"/>
    <sheet name="dashboard" sheetId="2" r:id="rId2"/>
    <sheet name="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B48" i="1"/>
  <c r="B47" i="1"/>
  <c r="B46" i="1"/>
  <c r="B50" i="1" s="1"/>
  <c r="B35" i="1"/>
  <c r="B34" i="1"/>
  <c r="B33" i="1"/>
  <c r="B32" i="1"/>
  <c r="B36" i="1" s="1"/>
  <c r="B21" i="1"/>
  <c r="B20" i="1"/>
  <c r="B19" i="1"/>
  <c r="B18" i="1"/>
  <c r="B22" i="1" s="1"/>
  <c r="B7" i="1"/>
  <c r="B6" i="1"/>
  <c r="B5" i="1"/>
  <c r="B4" i="1"/>
  <c r="B8" i="1" s="1"/>
</calcChain>
</file>

<file path=xl/sharedStrings.xml><?xml version="1.0" encoding="utf-8"?>
<sst xmlns="http://schemas.openxmlformats.org/spreadsheetml/2006/main" count="2842" uniqueCount="753">
  <si>
    <t>AI USAGE DASHBOARD</t>
  </si>
  <si>
    <t>Row Labels</t>
  </si>
  <si>
    <t>Count of User_ID</t>
  </si>
  <si>
    <t>Maybe</t>
  </si>
  <si>
    <t>No</t>
  </si>
  <si>
    <t>Unknown</t>
  </si>
  <si>
    <t>Yes</t>
  </si>
  <si>
    <t>Grand Total</t>
  </si>
  <si>
    <t>Count of Country</t>
  </si>
  <si>
    <t>Count of AI_Tool</t>
  </si>
  <si>
    <t>Count of AI_Purpose</t>
  </si>
  <si>
    <t>User_ID</t>
  </si>
  <si>
    <t>Age</t>
  </si>
  <si>
    <t>Gender</t>
  </si>
  <si>
    <t>Country</t>
  </si>
  <si>
    <t>User_Type</t>
  </si>
  <si>
    <t>Education_Level</t>
  </si>
  <si>
    <t>Profession</t>
  </si>
  <si>
    <t>Monthly_Income</t>
  </si>
  <si>
    <t>AI_Tool</t>
  </si>
  <si>
    <t>AI_Purpose</t>
  </si>
  <si>
    <t>AI_Usage_Hours_Per_Day</t>
  </si>
  <si>
    <t>Tasks_Performed</t>
  </si>
  <si>
    <t>Monthly_AI_Cost</t>
  </si>
  <si>
    <t>Productivity_Score</t>
  </si>
  <si>
    <t>Accuracy_Rating</t>
  </si>
  <si>
    <t>Satisfaction_Score</t>
  </si>
  <si>
    <t>Time_Saved_Hours_Per_Week</t>
  </si>
  <si>
    <t>Work_or_Study_Hours_Per_Day</t>
  </si>
  <si>
    <t>Would_Recommend</t>
  </si>
  <si>
    <t>U0001</t>
  </si>
  <si>
    <t>Other</t>
  </si>
  <si>
    <t>Kenya</t>
  </si>
  <si>
    <t>Professional</t>
  </si>
  <si>
    <t>Diploma</t>
  </si>
  <si>
    <t>Data Analyst</t>
  </si>
  <si>
    <t>ChatGPT</t>
  </si>
  <si>
    <t>Data Analysis</t>
  </si>
  <si>
    <t>Analyzing customer sales trends with Python, generating automated reports using Power BI, cleaning and organizing spreadsheet data</t>
  </si>
  <si>
    <t>U0002</t>
  </si>
  <si>
    <t>Female</t>
  </si>
  <si>
    <t>Pakistan</t>
  </si>
  <si>
    <t>Junior Software Developer</t>
  </si>
  <si>
    <t>Coding</t>
  </si>
  <si>
    <t>Automated code generation using AI assistants, debugging and fixing code with AI-powered tools, writing and optimizing SQL queries with AI support</t>
  </si>
  <si>
    <t>U0003</t>
  </si>
  <si>
    <t>Australia</t>
  </si>
  <si>
    <t>Student</t>
  </si>
  <si>
    <t>Master's</t>
  </si>
  <si>
    <t>Data Science Student</t>
  </si>
  <si>
    <t>Statistical analysis of research datasets, Data visualization and interpretation, Machine learning model training and evaluation, Predictive analytics for academic projects</t>
  </si>
  <si>
    <t>U0004</t>
  </si>
  <si>
    <t>India</t>
  </si>
  <si>
    <t>Undergraduate</t>
  </si>
  <si>
    <t>Information Technology Student</t>
  </si>
  <si>
    <t>Using AI for coding homework assistance, practice problem solutions, debugging Python scripts, studying for Data Structures exams</t>
  </si>
  <si>
    <t>U0005</t>
  </si>
  <si>
    <t>Content Strategy Manager</t>
  </si>
  <si>
    <t>Meta AI</t>
  </si>
  <si>
    <t>Content Creation</t>
  </si>
  <si>
    <t>AI-powered blog post generation and optimization, creating marketing copy using AI writing assistants, designing social media content calendars with AI recommendations</t>
  </si>
  <si>
    <t>U0006</t>
  </si>
  <si>
    <t>Male</t>
  </si>
  <si>
    <t>Brazil</t>
  </si>
  <si>
    <t>Bachelor's</t>
  </si>
  <si>
    <t>Content Creator/Gestor de Conteúdo Digital</t>
  </si>
  <si>
    <t>Claude</t>
  </si>
  <si>
    <t>Generating social media posts with AI writing tools, creating blog content and SEO optimization, producing video scripts and editing with AI assistance, designing graphics and visual content using AI image generators</t>
  </si>
  <si>
    <t>U0007</t>
  </si>
  <si>
    <t>Germany</t>
  </si>
  <si>
    <t>Machine Learning Research Student</t>
  </si>
  <si>
    <t>Research</t>
  </si>
  <si>
    <t>Literature review and paper summarization, Training neural networks for experimental validation, Data analysis and statistical modeling</t>
  </si>
  <si>
    <t>U0008</t>
  </si>
  <si>
    <t>English Literature Student</t>
  </si>
  <si>
    <t>Writing</t>
  </si>
  <si>
    <t>Essay composition and structure planning, grammar checking and proofreading, research paper summarization, creative writing feedback and editing</t>
  </si>
  <si>
    <t>U0009</t>
  </si>
  <si>
    <t>Software Engineering Student</t>
  </si>
  <si>
    <t>Google Gemini</t>
  </si>
  <si>
    <t>Debugging code with AI assistance, generating boilerplate code templates, learning new programming frameworks, optimizing algorithms</t>
  </si>
  <si>
    <t>U0010</t>
  </si>
  <si>
    <t>Nigeria</t>
  </si>
  <si>
    <t>Content Writer</t>
  </si>
  <si>
    <t>Blog post creation, email copywriting, social media content drafting, document editing and proofreading</t>
  </si>
  <si>
    <t>U0011</t>
  </si>
  <si>
    <t>Customer Support Specialist</t>
  </si>
  <si>
    <t>Perplexity AI</t>
  </si>
  <si>
    <t>Customer Support</t>
  </si>
  <si>
    <t>AI chatbot response review and optimization, automated ticket categorization and routing, customer sentiment analysis using AI tools, knowledge base article generation</t>
  </si>
  <si>
    <t>U0012</t>
  </si>
  <si>
    <t>France</t>
  </si>
  <si>
    <t>Développeur Full Stack Junior</t>
  </si>
  <si>
    <t>Microsoft Copilot</t>
  </si>
  <si>
    <t>Generating code snippets with GitHub Copilot, debugging Python scripts using AI pair programming, optimizing SQL queries with AI assistance</t>
  </si>
  <si>
    <t>U0013</t>
  </si>
  <si>
    <t>Canada</t>
  </si>
  <si>
    <t>High School</t>
  </si>
  <si>
    <t>Junior Web Developer</t>
  </si>
  <si>
    <t>Writing JavaScript code with AI code completion, debugging Python scripts using AI-powered error analysis, generating HTML/CSS templates with AI assistance</t>
  </si>
  <si>
    <t>U0014</t>
  </si>
  <si>
    <t>Engineering Student</t>
  </si>
  <si>
    <t>Studying</t>
  </si>
  <si>
    <t>Solving physics problems with AI explanation, generating practice questions for exams, translating complex concepts into simplified notes</t>
  </si>
  <si>
    <t>U0015</t>
  </si>
  <si>
    <t>Business Administration Student</t>
  </si>
  <si>
    <t>Using AI chatbots to explain complex business concepts, generating study notes from textbooks, practicing for economics exams with AI-generated practice questions</t>
  </si>
  <si>
    <t>U0016</t>
  </si>
  <si>
    <t>Biology Student</t>
  </si>
  <si>
    <t>Using AI to generate practice exam questions, summarizing research papers, explaining complex concepts like cellular respiration</t>
  </si>
  <si>
    <t>U0017</t>
  </si>
  <si>
    <t>Debugging code with AI assistance, generating code snippets for assignments, learning programming concepts through AI-powered tutorials</t>
  </si>
  <si>
    <t>U0018</t>
  </si>
  <si>
    <t>United States</t>
  </si>
  <si>
    <t>Content Strategist</t>
  </si>
  <si>
    <t>Using AI for blog drafting, editing article copy with grammar tools, generating content outlines</t>
  </si>
  <si>
    <t>U0019</t>
  </si>
  <si>
    <t>Développeur Logiciel (Software Developer)</t>
  </si>
  <si>
    <t>Debugging code with AI-assisted analysis, auto-completing code functions, generating unit test cases with AI tools</t>
  </si>
  <si>
    <t>U0020</t>
  </si>
  <si>
    <t>Creative Writing Student</t>
  </si>
  <si>
    <t>Brainstorming story concepts and plot outlines, refining essay drafts and academic papers, generating dialogue for fiction projects, editing and proofreading written content</t>
  </si>
  <si>
    <t>U0021</t>
  </si>
  <si>
    <t>United Kingdom</t>
  </si>
  <si>
    <t>Code debugging with AI assistance, automated test case generation, SQL query optimization, documentation writing with AI tools</t>
  </si>
  <si>
    <t>U0022</t>
  </si>
  <si>
    <t>Software Developer</t>
  </si>
  <si>
    <t>Writing and debugging Python code using AI assistants, automating repetitive coding tasks with AI tools, code review and optimization with AI-powered suggestions</t>
  </si>
  <si>
    <t>U0023</t>
  </si>
  <si>
    <t>Essay structuring and outlining, grammar checking and proofreading, research paper organization, creative writing brainstorming</t>
  </si>
  <si>
    <t>U0024</t>
  </si>
  <si>
    <t>Digital Marketing Student</t>
  </si>
  <si>
    <t>Writing social media captions and posts, Generating video scripts and outlines, Creating blog post ideas and content drafts</t>
  </si>
  <si>
    <t>U0025</t>
  </si>
  <si>
    <t>Environmental Science Student</t>
  </si>
  <si>
    <t>Literature review and source analysis, Data interpretation and visualization for research projects, Academic paper summarization and synthesis</t>
  </si>
  <si>
    <t>U0026</t>
  </si>
  <si>
    <t>Administrative Assistant</t>
  </si>
  <si>
    <t>Office Work</t>
  </si>
  <si>
    <t>Email management and scheduling with AI tools, Document formatting and data entry using automation software, Report generation and analysis with spreadsheet AI features</t>
  </si>
  <si>
    <t>U0027</t>
  </si>
  <si>
    <t>Computer Science Student</t>
  </si>
  <si>
    <t>Debugging code with AI assistance, generating boilerplate code for projects, learning new programming concepts through AI explanations</t>
  </si>
  <si>
    <t>U0028</t>
  </si>
  <si>
    <t>Essay drafting and outline generation, academic paper research summarization, creative writing feedback and editing</t>
  </si>
  <si>
    <t>U0029</t>
  </si>
  <si>
    <t>Mathematics Student</t>
  </si>
  <si>
    <t>Solving differential equations and linear algebra problems, generating practice exam questions and solutions, explaining complex mathematical concepts through AI-assisted tutorials</t>
  </si>
  <si>
    <t>U0030</t>
  </si>
  <si>
    <t>PhD</t>
  </si>
  <si>
    <t>AI Customer Success Manager</t>
  </si>
  <si>
    <t>AI-powered chatbot configuration and training, customer sentiment analysis using NLP models, automated ticket classification and routing, customer feedback analysis and reporting</t>
  </si>
  <si>
    <t>U0031</t>
  </si>
  <si>
    <t>Literature review and paper summarization, Lab data analysis and statistical interpretation, Research methodology planning and protocol development</t>
  </si>
  <si>
    <t>U0032</t>
  </si>
  <si>
    <t>German Literature Student</t>
  </si>
  <si>
    <t>Essay structure planning, grammar and spelling correction, essay topic research, writing feedback and revision suggestions</t>
  </si>
  <si>
    <t>U0033</t>
  </si>
  <si>
    <t>Using AI to explain complex biological concepts, generating practice questions for exams, summarizing textbook chapters</t>
  </si>
  <si>
    <t>U0034</t>
  </si>
  <si>
    <t>Philippines</t>
  </si>
  <si>
    <t>Grammarly</t>
  </si>
  <si>
    <t>Using AI for essay writing assistance, generating practice problems for programming exercises, creating study notes and summaries from lecture materials</t>
  </si>
  <si>
    <t>U0035</t>
  </si>
  <si>
    <t>Automated data cleaning and processing with Python scripts, building predictive models using machine learning algorithms, generating interactive dashboards and visualizations in Power BI</t>
  </si>
  <si>
    <t>U0036</t>
  </si>
  <si>
    <t>Uses AI tools to generate initial content drafts, optimize SEO metadata and headlines, streamline editing and proofreading processes, manage multi-channel content calendars</t>
  </si>
  <si>
    <t>U0037</t>
  </si>
  <si>
    <t>Drafting advertising copy with AI assistance, Proofreading and editing marketing materials, Generating content ideas for campaigns using AI tools</t>
  </si>
  <si>
    <t>U0038</t>
  </si>
  <si>
    <t>Essay writing and structure planning, Grammar checking and proofreading, Creative writing brainstorming, Citation and referencing assistance</t>
  </si>
  <si>
    <t>U0039</t>
  </si>
  <si>
    <t>Bioinformatics Student</t>
  </si>
  <si>
    <t>Literature review automation with AI summarization, designing research methodology frameworks, analyzing genomic datasets using machine learning models, peer review preparation assistance</t>
  </si>
  <si>
    <t>U0040</t>
  </si>
  <si>
    <t>Writing blog posts and articles using AI writing assistants, generating social media content calendars with AI tools, editing and repurposing video content with AI-powered software</t>
  </si>
  <si>
    <t>U0041</t>
  </si>
  <si>
    <t>AI-powered social media content generation, blog post writing and SEO optimization, graphic design ideation with AI tools, video script creation and editing</t>
  </si>
  <si>
    <t>U0042</t>
  </si>
  <si>
    <t>Using AI to summarize lecture notes, generating practice exam questions, researching case studies for assignments</t>
  </si>
  <si>
    <t>U0043</t>
  </si>
  <si>
    <t>U0044</t>
  </si>
  <si>
    <t>Literature review and paper summarization, statistical analysis and data interpretation, research methodology design, thesis data analysis and visualization</t>
  </si>
  <si>
    <t>U0045</t>
  </si>
  <si>
    <t>Senior Software Developer</t>
  </si>
  <si>
    <t>Code review and optimization using AI assistants, debugging complex algorithms with AI-powered tools, automated testing and code generation, documentation writing with AI support</t>
  </si>
  <si>
    <t>U0046</t>
  </si>
  <si>
    <t>Research Technician</t>
  </si>
  <si>
    <t>Literature review synthesis using AI search tools, Data analysis and statistical reporting with AI-assisted tools, Survey data organization and preliminary findings documentation</t>
  </si>
  <si>
    <t>U0047</t>
  </si>
  <si>
    <t>Computer Science PhD Student</t>
  </si>
  <si>
    <t>Debugging code with AI assistance, Generating boilerplate code and snippets, Optimizing algorithms and performance</t>
  </si>
  <si>
    <t>U0048</t>
  </si>
  <si>
    <t>Draft blog posts and marketing copy with AI writing assistants, Generate email campaign content, Edit and refine AI-generated social media posts</t>
  </si>
  <si>
    <t>U0049</t>
  </si>
  <si>
    <t>Writing Python scripts with AI code completion, debugging code errors using ChatGPT, generating SQL queries for database management, refactoring JavaScript functions with AI assistance</t>
  </si>
  <si>
    <t>U0050</t>
  </si>
  <si>
    <t>Drafting blog posts and articles using AI writing assistants, proofreading and editing content with grammar tools, generating social media copy and captions</t>
  </si>
  <si>
    <t>U0051</t>
  </si>
  <si>
    <t>Summarizing course lecture notes, generating practice questions for exams, translating academic articles into simpler terms, proofreading and organizing assignment drafts</t>
  </si>
  <si>
    <t>U0052</t>
  </si>
  <si>
    <t>Literature review organization, Academic paper summarization, Statistical data analysis, Research source evaluation</t>
  </si>
  <si>
    <t>U0053</t>
  </si>
  <si>
    <t>Psychology Research Student</t>
  </si>
  <si>
    <t>Literature review analysis, Research paper summarization, Data interpretation assistance, Survey analysis</t>
  </si>
  <si>
    <t>U0054</t>
  </si>
  <si>
    <t>Debugging code with AI assistants, Learning Python and JavaScript syntax, Solving LeetCode problems with AI explanations</t>
  </si>
  <si>
    <t>U0055</t>
  </si>
  <si>
    <t>Senior Software Engineer</t>
  </si>
  <si>
    <t>Code review and optimization using AI assistants, automated testing and debugging with AI tools, API development and integration, documentation generation</t>
  </si>
  <si>
    <t>U0056</t>
  </si>
  <si>
    <t>Using AI code generation tools to write HTML/CSS templates, debugging PHP code with AI assistance, automating SQL query optimization for database functions</t>
  </si>
  <si>
    <t>U0057</t>
  </si>
  <si>
    <t>Essay composition and structure planning, grammar and spelling correction, brainstorming ideas for creative writing assignments</t>
  </si>
  <si>
    <t>U0058</t>
  </si>
  <si>
    <t>Datenanalyst</t>
  </si>
  <si>
    <t>Cleaning and organizing Excel datasets, Creating data visualizations with Power BI, Generating reports from business metrics using SQL queries</t>
  </si>
  <si>
    <t>U0059</t>
  </si>
  <si>
    <t>Customer Service Representative</t>
  </si>
  <si>
    <t>Responding to customer inquiries via AI chatbots, drafting personalized support emails using AI writing assistants, resolving common technical issues with AI-guided troubleshooting scripts</t>
  </si>
  <si>
    <t>U0060</t>
  </si>
  <si>
    <t>Literature review and paper summarization, Data analysis for research datasets, Academic paper organization and citation management</t>
  </si>
  <si>
    <t>U0061</t>
  </si>
  <si>
    <t>Desenvolvedor de Software Sênior</t>
  </si>
  <si>
    <t>Usar GitHub Copilot para completar código, gerar testes unitários com IA, otimizar algoritmos com sugestões de IA, revisar e debugar código com assistentes de IA</t>
  </si>
  <si>
    <t>U0062</t>
  </si>
  <si>
    <t>Analyzing research papers with AI summaries, Debugging Python code for machine learning projects, Preparing for statistical analysis exams using AI tutoring</t>
  </si>
  <si>
    <t>U0063</t>
  </si>
  <si>
    <t>Essay drafting and brainstorming, grammar checking and proofreading, creative writing prompt generation</t>
  </si>
  <si>
    <t>U0064</t>
  </si>
  <si>
    <t>Using AI for programming problem solving, generating practice exam questions, explaining complex machine learning concepts, summarizing research papers</t>
  </si>
  <si>
    <t>U0065</t>
  </si>
  <si>
    <t>Mechanical Engineering Student</t>
  </si>
  <si>
    <t>Explaining complex physics concepts, solving differential equations, generating study guides for thermodynamics and dynamics modules, debugging Python code for engineering simulations</t>
  </si>
  <si>
    <t>U0066</t>
  </si>
  <si>
    <t>Code debugging with AI pair programming tools, automated test generation, code documentation and comments generation</t>
  </si>
  <si>
    <t>U0067</t>
  </si>
  <si>
    <t>Biotechnology Student</t>
  </si>
  <si>
    <t>Literature review automation, research paper summarization, data analysis and visualization, hypothesis generation</t>
  </si>
  <si>
    <t>U0068</t>
  </si>
  <si>
    <t>Using AI to generate practice questions for exams, translating English scientific articles to Portuguese, summarizing complex biological concepts, creating study guides</t>
  </si>
  <si>
    <t>U0069</t>
  </si>
  <si>
    <t>Content Marketing Manager</t>
  </si>
  <si>
    <t>Creating blog posts and web copy with AI writing assistants, editing and refining client proposals, generating social media content calendars and posts</t>
  </si>
  <si>
    <t>U0070</t>
  </si>
  <si>
    <t>Using AI to solve physics problems, generating study summaries for calculus, translating technical documents from English to Portuguese</t>
  </si>
  <si>
    <t>U0071</t>
  </si>
  <si>
    <t>Data Analytics Manager</t>
  </si>
  <si>
    <t>Building predictive models with Python and scikit-learn, Creating business intelligence dashboards in Tableau, Performing statistical analysis on customer datasets</t>
  </si>
  <si>
    <t>U0072</t>
  </si>
  <si>
    <t>Debugging code with AI assistance, generating code snippets for assignments, learning new programming languages and frameworks</t>
  </si>
  <si>
    <t>U0073</t>
  </si>
  <si>
    <t>Literature review and paper summarization, Data analysis for research projects, Hypothesis generation for experiments, Academic writing and citation organization</t>
  </si>
  <si>
    <t>U0074</t>
  </si>
  <si>
    <t>Research Assistant</t>
  </si>
  <si>
    <t>DeepSeek</t>
  </si>
  <si>
    <t>Literature review compilation, data collection and organization, competitor analysis, market trend research</t>
  </si>
  <si>
    <t>U0075</t>
  </si>
  <si>
    <t>Drafting blog posts and articles with AI writing assistants, using AI tools to brainstorm content ideas and outline structures, editing and refining generated content for tone and accuracy</t>
  </si>
  <si>
    <t>U0076</t>
  </si>
  <si>
    <t>Essay structuring and outlining, narrative development and storytelling, grammar checking and style refinement, research paper organization</t>
  </si>
  <si>
    <t>U0077</t>
  </si>
  <si>
    <t>Data visualization with charts and graphs, Statistical analysis of survey datasets, Data cleaning and preprocessing, Predictive modeling for business intelligence</t>
  </si>
  <si>
    <t>U0078</t>
  </si>
  <si>
    <t>Data cleaning and preprocessing, Statistical analysis and visualization, Building predictive models with machine learning algorithms</t>
  </si>
  <si>
    <t>U0079</t>
  </si>
  <si>
    <t>Generating practice problems and solutions for thermodynamics assignments, Using AI to explain complex calculus concepts, Debugging Python code for computational mechanics projects</t>
  </si>
  <si>
    <t>U0080</t>
  </si>
  <si>
    <t>Debugging code with AI assistance, Learning Python syntax, Building small projects with AI pair programming</t>
  </si>
  <si>
    <t>U0081</t>
  </si>
  <si>
    <t>Literature review using AI search tools, data analysis with AI-powered statistical software, market research report generation, academic paper summarization</t>
  </si>
  <si>
    <t>U0082</t>
  </si>
  <si>
    <t>Technical Writer</t>
  </si>
  <si>
    <t>Drafting technical documentation with AI assistance, editing and refining content for clarity, generating user guides and manuals, collaborating with teams on writing projects</t>
  </si>
  <si>
    <t>U0083</t>
  </si>
  <si>
    <t>Senior Data Scientist</t>
  </si>
  <si>
    <t>Building predictive machine learning models, statistical analysis of large datasets, automating data pipeline workflows, generating insights dashboards for stakeholders</t>
  </si>
  <si>
    <t>U0084</t>
  </si>
  <si>
    <t>Business Intelligence Analyst</t>
  </si>
  <si>
    <t>Cleaning and processing customer transaction data, generating sales trend reports using Python, creating data visualizations in Power BI dashboards</t>
  </si>
  <si>
    <t>U0085</t>
  </si>
  <si>
    <t>Theoretical Physics Student</t>
  </si>
  <si>
    <t>Generating practice problems for quantum mechanics, Getting explanations for complex mathematical proofs, Creating study summaries from research papers, Preparing for physics competitions</t>
  </si>
  <si>
    <t>U0086</t>
  </si>
  <si>
    <t>Blog post creation using AI writing assistants, social media caption generation, email newsletter drafting, proofreading and editing with grammar tools</t>
  </si>
  <si>
    <t>U0087</t>
  </si>
  <si>
    <t>Digital Media &amp; Film Production Student</t>
  </si>
  <si>
    <t>Video editing with AI-assisted color grading, Generating background music and sound design, Creating AI-enhanced visual effects, Writing and scripting video content</t>
  </si>
  <si>
    <t>U0088</t>
  </si>
  <si>
    <t>Data Entry Operator</t>
  </si>
  <si>
    <t>Data cleaning and validation using Python scripts, Excel spreadsheet automation with AI tools, generating automated reports from raw datasets</t>
  </si>
  <si>
    <t>U0089</t>
  </si>
  <si>
    <t>Machine Learning Student</t>
  </si>
  <si>
    <t>Debugging Python code with AI pair programming, generating neural network architectures, optimizing algorithm efficiency</t>
  </si>
  <si>
    <t>U0090</t>
  </si>
  <si>
    <t>Literature review summarization, data analysis for lab reports, generating research outlines, fact-checking sources for school projects</t>
  </si>
  <si>
    <t>U0091</t>
  </si>
  <si>
    <t>Essay drafting and brainstorming, grammar checking and proofreading, research paper outline generation, creative writing feedback</t>
  </si>
  <si>
    <t>U0092</t>
  </si>
  <si>
    <t>Statistical analysis of datasets, data visualization using Python libraries, predictive modeling with machine learning algorithms, database query optimization</t>
  </si>
  <si>
    <t>U0093</t>
  </si>
  <si>
    <t>Debugging code with AI assistance, generating boilerplate code for projects, learning new programming concepts through AI explanations, optimizing algorithms</t>
  </si>
  <si>
    <t>U0094</t>
  </si>
  <si>
    <t>Multimedia Content Producer</t>
  </si>
  <si>
    <t>Writing blog articles with AI writing assistants, generating social media graphics and captions using AI design tools, editing video content and creating thumbnails, managing and curating digital content for websites and social platforms</t>
  </si>
  <si>
    <t>U0095</t>
  </si>
  <si>
    <t>Content Strategist &amp; Technical Writer</t>
  </si>
  <si>
    <t>AI-assisted article writing and research, document translation and localization, automated report generation, editing and proofreading with AI tools</t>
  </si>
  <si>
    <t>U0096</t>
  </si>
  <si>
    <t>U0097</t>
  </si>
  <si>
    <t>AI-assisted essay structuring, thesis literature review synthesis, manuscript editing and proofreading, dialogue generation for fiction writing</t>
  </si>
  <si>
    <t>U0098</t>
  </si>
  <si>
    <t>Debugging code with AI assistance, generating boilerplate code, learning new programming frameworks, optimizing algorithm solutions</t>
  </si>
  <si>
    <t>U0099</t>
  </si>
  <si>
    <t>Explaining complex physics concepts, Generating practice problems with solutions, Debugging MATLAB code for simulations</t>
  </si>
  <si>
    <t>U0100</t>
  </si>
  <si>
    <t>Literature review automation, research paper summarization, data analysis and visualization, academic source discovery and organization</t>
  </si>
  <si>
    <t>U0101</t>
  </si>
  <si>
    <t>Literature review automation, data analysis for lab experiments, peer-reviewed article summarization, research paper writing assistance</t>
  </si>
  <si>
    <t>U0102</t>
  </si>
  <si>
    <t>U0103</t>
  </si>
  <si>
    <t>Handling customer inquiries via AI chatbots, resolving complaints using AI-powered ticketing systems, processing refunds and returns with AI assistance</t>
  </si>
  <si>
    <t>U0104</t>
  </si>
  <si>
    <t>Literature review automation, research paper summarization, data analysis for experiments, thesis writing assistance</t>
  </si>
  <si>
    <t>U0105</t>
  </si>
  <si>
    <t>U0106</t>
  </si>
  <si>
    <t>Customer Support Manager</t>
  </si>
  <si>
    <t>Processing customer inquiries with AI chatbot automation, analysing customer feedback sentiment using AI tools, training support team on AI-assisted ticketing systems</t>
  </si>
  <si>
    <t>U0107</t>
  </si>
  <si>
    <t>Senior Machine Learning Engineer</t>
  </si>
  <si>
    <t>Code generation and debugging with AI assistants, algorithm optimization using neural networks, automated testing and code review with AI tools</t>
  </si>
  <si>
    <t>U0108</t>
  </si>
  <si>
    <t>Digital Content Strategist</t>
  </si>
  <si>
    <t>AI-assisted blog writing and SEO optimization, social media caption generation, video script creation with AI tools, content calendar planning using AI analytics</t>
  </si>
  <si>
    <t>U0109</t>
  </si>
  <si>
    <t>Debugging Python code with AI assistance, generating HTML/CSS templates for web projects, explaining algorithmic concepts and data structures</t>
  </si>
  <si>
    <t>U0110</t>
  </si>
  <si>
    <t>Customer Support Executive</t>
  </si>
  <si>
    <t>AI chatbot ticket routing, customer complaint analysis and resolution, live chat support with AI assistance, response template generation</t>
  </si>
  <si>
    <t>U0111</t>
  </si>
  <si>
    <t>Drafting marketing copy with AI assistance, generating blog outlines and article summaries, editing and refining written content using AI tools, creating email campaign content</t>
  </si>
  <si>
    <t>U0112</t>
  </si>
  <si>
    <t>Essay outlining and structure planning, grammar and style checking, brainstorming essay arguments, citation formatting assistance</t>
  </si>
  <si>
    <t>U0113</t>
  </si>
  <si>
    <t>Senior Software Developer / Softwareentwicklerin</t>
  </si>
  <si>
    <t>Code generation and optimization using AI assistants, automated testing and bug detection with AI tools, documentation generation from code comments, refactoring legacy code with AI suggestions</t>
  </si>
  <si>
    <t>U0114</t>
  </si>
  <si>
    <t>Using AI code completion tools for writing Python functions, debugging code with AI-assisted analysis, generating unit test cases with AI tools</t>
  </si>
  <si>
    <t>U0115</t>
  </si>
  <si>
    <t>Business Analyst</t>
  </si>
  <si>
    <t>Automating data analysis with AI tools, generating reports using AI writing assistants, analyzing market trends with AI analytics platforms</t>
  </si>
  <si>
    <t>U0116</t>
  </si>
  <si>
    <t>Digital Media and Communications Student</t>
  </si>
  <si>
    <t>AI-assisted blog writing and SEO optimization, video scriptwriting and thumbnail design generation, social media content creation and caption generation</t>
  </si>
  <si>
    <t>U0117</t>
  </si>
  <si>
    <t>Biomedical Engineering Student</t>
  </si>
  <si>
    <t>Generating study summaries from lecture notes, solving complex problem sets with AI guidance, creating visual diagrams for anatomy concepts</t>
  </si>
  <si>
    <t>U0118</t>
  </si>
  <si>
    <t>Responsable de Contenu Digital</t>
  </si>
  <si>
    <t>Création d'articles de blog avec assistance IA, Génération de contenu pour réseaux sociaux, Optimisation SEO avec outils IA, Édition et révision de textes</t>
  </si>
  <si>
    <t>U0119</t>
  </si>
  <si>
    <t>Analyzing customer behavior patterns using Python and Pandas, Creating automated dashboards with Power BI, Mining sales data to identify trends and anomalies</t>
  </si>
  <si>
    <t>U0120</t>
  </si>
  <si>
    <t>Electronics Engineering Student</t>
  </si>
  <si>
    <t>Using AI to solve complex circuit problems, generating practice exam questions with solutions, summarizing technical textbooks and research papers</t>
  </si>
  <si>
    <t>U0121</t>
  </si>
  <si>
    <t>Business Analytics Student</t>
  </si>
  <si>
    <t>Summarizing academic research papers, generating study guides for exams, brainstorming project ideas, debugging Python code assignments</t>
  </si>
  <si>
    <t>U0122</t>
  </si>
  <si>
    <t>Psychology Student</t>
  </si>
  <si>
    <t>Literature review summarization, research paper analysis, data interpretation assistance, study methodology research</t>
  </si>
  <si>
    <t>U0123</t>
  </si>
  <si>
    <t>Literature review on medical devices, analyzing research papers using AI summaries, conducting computational analysis of biological data, organizing and citing academic sources</t>
  </si>
  <si>
    <t>U0124</t>
  </si>
  <si>
    <t>Digital Marketing Manager</t>
  </si>
  <si>
    <t>Writing blog posts and articles using AI writing tools, designing social media content with AI image generators, creating video scripts and editing content using AI-assisted tools</t>
  </si>
  <si>
    <t>U0125</t>
  </si>
  <si>
    <t>Debugging Python code with AI code analysis, Writing SQL queries for database projects, Generating HTML/CSS templates for web assignments</t>
  </si>
  <si>
    <t>U0126</t>
  </si>
  <si>
    <t>Pesquisador Sênior em Inteligência Artificial e Ciência de Dados</t>
  </si>
  <si>
    <t>Análise de grandes volumes de dados com modelos de machine learning, Desenvolvimento de algoritmos para processamento de linguagem natural, Otimização de modelos preditivos para pesquisa acadêmica</t>
  </si>
  <si>
    <t>U0127</t>
  </si>
  <si>
    <t>Artificial Intelligence Research Student</t>
  </si>
  <si>
    <t>Literature review and paper summarization, debugging and optimizing machine learning code, generating research hypotheses and experiment design, analyzing complex datasets and statistical modeling</t>
  </si>
  <si>
    <t>U0128</t>
  </si>
  <si>
    <t>Software Developer (Diploma Qualified)</t>
  </si>
  <si>
    <t>Code debugging with AI assistants, generating boilerplate code snippets, optimizing legacy application code, testing and validating code functionality</t>
  </si>
  <si>
    <t>U0129</t>
  </si>
  <si>
    <t>Essay structuring and brainstorming, Grammar and style checking, Research paper organization, Creative writing feedback and revision</t>
  </si>
  <si>
    <t>U0130</t>
  </si>
  <si>
    <t>Debugging code with AI-assisted analysis, generating boilerplate code using AI tools, code review and optimization with AI suggestions</t>
  </si>
  <si>
    <t>U0131</t>
  </si>
  <si>
    <t>Data entry and document formatting with AI tools, scheduling meetings and managing calendar using AI assistants, generating business reports with AI summarization software, proofreading emails and correspondence using grammar AI</t>
  </si>
  <si>
    <t>U0132</t>
  </si>
  <si>
    <t>Literature review and source compilation, Data analysis and statistical interpretation, Essay research and citation management</t>
  </si>
  <si>
    <t>U0133</t>
  </si>
  <si>
    <t>Literature review analysis using AI research tools, thesis data interpretation and statistical analysis, scientific paper summarization and citation management, research proposal optimization</t>
  </si>
  <si>
    <t>U0134</t>
  </si>
  <si>
    <t>Digital Media Production Student</t>
  </si>
  <si>
    <t>Generating video scripts and storyboards, Creating AI-enhanced graphics and visual assets, Writing and editing blog posts and social media content</t>
  </si>
  <si>
    <t>U0135</t>
  </si>
  <si>
    <t>Research Analyst</t>
  </si>
  <si>
    <t>Literature review and synthesis using AI-powered databases, Data analysis and pattern recognition, Research paper writing and academic content generation</t>
  </si>
  <si>
    <t>U0136</t>
  </si>
  <si>
    <t>Desenvolvedor de Sistemas (Systems Developer)</t>
  </si>
  <si>
    <t>Code debugging and optimization with AI tools, automated test case generation, API development and integration, documentation generation</t>
  </si>
  <si>
    <t>U0137</t>
  </si>
  <si>
    <t>Code debugging and optimization, API development and integration, machine learning model training and implementation</t>
  </si>
  <si>
    <t>U0138</t>
  </si>
  <si>
    <t>U0139</t>
  </si>
  <si>
    <t>Digital Content Writer</t>
  </si>
  <si>
    <t>Writing blog posts and articles using AI writing assistants, Creating social media content with AI tools, Generating product descriptions for e-commerce platforms</t>
  </si>
  <si>
    <t>U0140</t>
  </si>
  <si>
    <t>Molecular Biology Student</t>
  </si>
  <si>
    <t>Literature review and paper summarization, experiment data analysis and visualization, hypothesis generation for lab research, scientific journal article organization and annotation</t>
  </si>
  <si>
    <t>U0141</t>
  </si>
  <si>
    <t>Debugging Python code with AI assistants, generating boilerplate code for web projects, learning algorithms through AI-generated explanations</t>
  </si>
  <si>
    <t>U0142</t>
  </si>
  <si>
    <t>Generating study summaries from lecture notes, debugging Python code for coursework assignments, explaining complex statistical concepts, creating practice problems for exam preparation</t>
  </si>
  <si>
    <t>U0143</t>
  </si>
  <si>
    <t>AI-assisted blog writing and SEO optimization, social media caption generation, video script composition, graphic design concept ideation</t>
  </si>
  <si>
    <t>U0144</t>
  </si>
  <si>
    <t>Writing and debugging Python code using GitHub Copilot, generating SQL queries with AI assistants, code optimization and refactoring suggestions</t>
  </si>
  <si>
    <t>U0145</t>
  </si>
  <si>
    <t>Using AI to generate article outlines and research summaries, editing and refining AI-generated copy for brand consistency, creating SEO-optimized content briefs with AI assistance</t>
  </si>
  <si>
    <t>U0146</t>
  </si>
  <si>
    <t>Writing lab reports, studying for exams using AI tutors, organizing research notes</t>
  </si>
  <si>
    <t>U0147</t>
  </si>
  <si>
    <t>Analista de Dados</t>
  </si>
  <si>
    <t>U0148</t>
  </si>
  <si>
    <t>Using AI to generate study notes from textbooks, getting help with math problem solutions, practicing English language comprehension with AI writing feedback</t>
  </si>
  <si>
    <t>U0149</t>
  </si>
  <si>
    <t>Writing and debugging Python code, generating documentation for projects, optimizing algorithms</t>
  </si>
  <si>
    <t>U0150</t>
  </si>
  <si>
    <t>Drafting blog posts and articles using AI writing assistants, Editing and proofreading client documents with AI tools, Creating marketing copy and social media content</t>
  </si>
  <si>
    <t>U0151</t>
  </si>
  <si>
    <t>Code review and debugging using AI assistants, automated test case generation, documentation and code commenting automation, performance optimization recommendations</t>
  </si>
  <si>
    <t>U0152</t>
  </si>
  <si>
    <t>U0153</t>
  </si>
  <si>
    <t>U0154</t>
  </si>
  <si>
    <t>U0155</t>
  </si>
  <si>
    <t>Drafting blog articles and web copy with AI assistance, proofreading and editing content generated by language models, optimizing written materials for SEO using AI tools</t>
  </si>
  <si>
    <t>U0156</t>
  </si>
  <si>
    <t>Artificial Intelligence &amp; Digital Media Student</t>
  </si>
  <si>
    <t>U0157</t>
  </si>
  <si>
    <t>Literature review and paper summarization, Research paper analysis and concept extraction, Experimental data interpretation and analysis</t>
  </si>
  <si>
    <t>U0158</t>
  </si>
  <si>
    <t>Essay drafting and structuring, grammar and clarity checking, research paper outline generation, creative writing brainstorming</t>
  </si>
  <si>
    <t>U0159</t>
  </si>
  <si>
    <t>Projektmanagerin (Project Manager)</t>
  </si>
  <si>
    <t>Email management and scheduling with AI assistance, automated report generation and data analysis, AI-powered document creation and editing, meeting notes summarization</t>
  </si>
  <si>
    <t>U0160</t>
  </si>
  <si>
    <t>Electronics and Communication Engineering Student</t>
  </si>
  <si>
    <t>Literature review on emerging technologies, Data analysis for lab experiments, Creating research presentations with AI summarization, Organizing and citing research papers</t>
  </si>
  <si>
    <t>U0161</t>
  </si>
  <si>
    <t>AI Customer Support Specialist</t>
  </si>
  <si>
    <t>Respond to customer inquiries using AI chatbots, analyze sentiment in support tickets with NLP tools, draft personalized customer responses, resolve issues through AI-assisted knowledge bases</t>
  </si>
  <si>
    <t>U0162</t>
  </si>
  <si>
    <t>Literature review automation using AI databases, conducting qualitative data analysis with AI tools, generating research reports and summaries, market research data collection and synthesis</t>
  </si>
  <si>
    <t>U0163</t>
  </si>
  <si>
    <t>Literature review synthesis using AI-powered databases, data analysis and pattern identification with machine learning models, research hypothesis testing and statistical validation</t>
  </si>
  <si>
    <t>U0164</t>
  </si>
  <si>
    <t>Research Scientist/Senior Research Officer</t>
  </si>
  <si>
    <t>Literature review automation with AI tools, data analysis and pattern recognition, research paper synthesis and summarization, hypothesis validation using machine learning models</t>
  </si>
  <si>
    <t>U0165</t>
  </si>
  <si>
    <t>Using AI to solve physics and calculus problems, generating practice exam questions, translating technical documentation from English to Portuguese</t>
  </si>
  <si>
    <t>U0166</t>
  </si>
  <si>
    <t>Biomedical Science Student</t>
  </si>
  <si>
    <t>Using AI to generate study summaries of complex biochemical pathways, asking ChatGPT to explain lab report findings, generating practice exam questions for molecular biology assessments</t>
  </si>
  <si>
    <t>U0167</t>
  </si>
  <si>
    <t>Email copywriting, Social media post creation, Blog article drafting, Product description writing</t>
  </si>
  <si>
    <t>U0168</t>
  </si>
  <si>
    <t>Analista de Dados Sênior</t>
  </si>
  <si>
    <t>Análise preditiva de tendências de mercado com Machine Learning, processamento e limpeza de grandes volumes de dados com Python/SQL, criação de dashboards interativos em Power BI, relatórios automáticos de KPIs</t>
  </si>
  <si>
    <t>U0169</t>
  </si>
  <si>
    <t>Digital Content Creator / Social Media Manager</t>
  </si>
  <si>
    <t>U0170</t>
  </si>
  <si>
    <t>Resolving customer inquiries using AI chatbots, analyzing customer feedback with sentiment analysis tools, ticket prioritization using AI systems</t>
  </si>
  <si>
    <t>U0171</t>
  </si>
  <si>
    <t>Data Entry Specialist</t>
  </si>
  <si>
    <t>Organizing customer datasets with Excel and Python scripts, creating automated reports using AI-powered analytics tools, cleaning and validating data quality for business intelligence dashboards</t>
  </si>
  <si>
    <t>U0172</t>
  </si>
  <si>
    <t>Essay structuring and outlining, grammar checking and proofreading, research paper organization, creative writing feedback</t>
  </si>
  <si>
    <t>U0173</t>
  </si>
  <si>
    <t>Debugging code using AI-assisted tools, Generating boilerplate code with GitHub Copilot, Code review and optimization with AI suggestions, Writing unit tests using AI pair programming</t>
  </si>
  <si>
    <t>U0174</t>
  </si>
  <si>
    <t>Debugging code errors, generating code snippets in Python and JavaScript, learning programming concepts through AI explanations</t>
  </si>
  <si>
    <t>U0175</t>
  </si>
  <si>
    <t>AI Content Strategist</t>
  </si>
  <si>
    <t>Generating blog articles and marketing copy with AI writing tools, creating social media content calendars, producing video scripts and editing with AI-assisted tools</t>
  </si>
  <si>
    <t>U0176</t>
  </si>
  <si>
    <t>AI-Powered Customer Support Executive</t>
  </si>
  <si>
    <t>AI chatbot management and customer query routing, multilingual customer response handling using AI tools, customer complaint analysis and resolution tracking</t>
  </si>
  <si>
    <t>U0177</t>
  </si>
  <si>
    <t>Social Media Content Creator</t>
  </si>
  <si>
    <t>Creating Instagram/TikTok captions with AI writing tools, Generating YouTube thumbnails and video descriptions using AI design assistants, Editing photos and videos with AI-powered software</t>
  </si>
  <si>
    <t>U0178</t>
  </si>
  <si>
    <t>U0179</t>
  </si>
  <si>
    <t>Pesquisador de Mercado</t>
  </si>
  <si>
    <t>Análise de tendências usando ferramentas de IA, extração de dados de fontes públicas, geração de relatórios automatizados, síntese de artigos acadêmicos</t>
  </si>
  <si>
    <t>U0180</t>
  </si>
  <si>
    <t>Senior Research Scientist</t>
  </si>
  <si>
    <t>Statistical modeling and hypothesis testing with Python/R, Machine learning model development for predictive analytics, Automated data visualization and reporting with Power BI</t>
  </si>
  <si>
    <t>U0181</t>
  </si>
  <si>
    <t>Content Manager</t>
  </si>
  <si>
    <t>Creating website copy and blog articles with AI writing assistants, generating social media posts and captions, editing and optimizing content for SEO</t>
  </si>
  <si>
    <t>U0182</t>
  </si>
  <si>
    <t>Essay drafting and editing, creative story development, grammar checking and proofreading</t>
  </si>
  <si>
    <t>U0183</t>
  </si>
  <si>
    <t>Essay outlining and structure planning, grammar checking and proofreading, creative writing brainstorming, research paper citation formatting</t>
  </si>
  <si>
    <t>U0184</t>
  </si>
  <si>
    <t>Senior Software Engineer / AI Solutions Architect</t>
  </si>
  <si>
    <t>U0185</t>
  </si>
  <si>
    <t>Video editing and effects using AI tools, AI-assisted scriptwriting for YouTube content, AI image generation for social media graphics, audio enhancement and voiceover synthesis</t>
  </si>
  <si>
    <t>U0186</t>
  </si>
  <si>
    <t>Academic Research Professor and Technical Writer</t>
  </si>
  <si>
    <t>Drafting research papers and abstracts using AI writing assistants, Editing and refining academic manuscripts for journal submissions, Generating technical documentation and course materials</t>
  </si>
  <si>
    <t>U0187</t>
  </si>
  <si>
    <t>Debugging Python code, generating SQL queries, writing HTML/CSS for web projects, optimizing algorithm efficiency</t>
  </si>
  <si>
    <t>U0188</t>
  </si>
  <si>
    <t>History Student</t>
  </si>
  <si>
    <t>Literature review and document summarization, Historical timeline creation and fact verification, Research paper outline generation</t>
  </si>
  <si>
    <t>U0189</t>
  </si>
  <si>
    <t>Using ChatGPT to explain statistical concepts, generating practice problems with Python code examples, summarizing research papers for assignments</t>
  </si>
  <si>
    <t>U0190</t>
  </si>
  <si>
    <t>AI-assisted article writing and SEO optimization, social media content generation, automated copywriting for marketing campaigns, AI-powered image and graphic content creation</t>
  </si>
  <si>
    <t>U0191</t>
  </si>
  <si>
    <t>Debugging code with AI assistance, generating code snippets for assignments, learning programming concepts through AI explanations</t>
  </si>
  <si>
    <t>U0192</t>
  </si>
  <si>
    <t>U0193</t>
  </si>
  <si>
    <t>Customer Support Specialist / AI Support Operations Manager</t>
  </si>
  <si>
    <t>Manages AI-powered chatbot responses for customer inquiries, Analyzes customer sentiment using NLP tools, Optimizes support ticket routing with machine learning algorithms, Trains and monitors AI systems for quality assurance</t>
  </si>
  <si>
    <t>U0194</t>
  </si>
  <si>
    <t>Building predictive models using machine learning, Processing large datasets with Python/SQL, Creating automated dashboards and reports, Performing statistical analysis on business metrics</t>
  </si>
  <si>
    <t>U0195</t>
  </si>
  <si>
    <t>Administrative Executive</t>
  </si>
  <si>
    <t>Email automation and drafting with AI writing tools, Data entry and spreadsheet management using AI-powered tools, Document formatting and report generation, Meeting notes transcription and summarization</t>
  </si>
  <si>
    <t>U0196</t>
  </si>
  <si>
    <t>Essay drafting and structuring, grammar and syntax correction, research paper organization, creative writing brainstorming</t>
  </si>
  <si>
    <t>U0197</t>
  </si>
  <si>
    <t>Essay outlining and structure planning, grammar and style checking for assignments, creative writing brainstorming and plot development</t>
  </si>
  <si>
    <t>U0198</t>
  </si>
  <si>
    <t>Kundenservice-Spezialistin / Customer Service Specialist</t>
  </si>
  <si>
    <t>U0199</t>
  </si>
  <si>
    <t>U0200</t>
  </si>
  <si>
    <t>Software Support Technician</t>
  </si>
  <si>
    <t>Debugging code with AI assistance, Generating boilerplate code using AI, Code review with automated analysis tools</t>
  </si>
  <si>
    <t>U0201</t>
  </si>
  <si>
    <t>Essay outlining and structure planning, Grammar and style checking on assignments, Research paper summarization and citation formatting</t>
  </si>
  <si>
    <t>U0202</t>
  </si>
  <si>
    <t>U0203</t>
  </si>
  <si>
    <t>Desenvolvedora de Software</t>
  </si>
  <si>
    <t>Uso de GitHub Copilot para autocompletar código, refatoração de aplicações com assistência de IA, debugging de erros com ferramentas de análise inteligente</t>
  </si>
  <si>
    <t>U0204</t>
  </si>
  <si>
    <t>Senior Software Engineer / AI Systems Developer</t>
  </si>
  <si>
    <t>Developing machine learning models for code optimization, Automating code generation and refactoring using AI, Debugging complex algorithms with AI-assisted analysis</t>
  </si>
  <si>
    <t>U0205</t>
  </si>
  <si>
    <t>Analyzing complex physics problems, generating study notes from lecture content, debugging code for coursework projects, creating visual explanations of thermodynamic concepts</t>
  </si>
  <si>
    <t>U0206</t>
  </si>
  <si>
    <t>Literature Student</t>
  </si>
  <si>
    <t>Essay drafting and structuring, Grammar and style checking for academic papers, Creative writing brainstorming and editing</t>
  </si>
  <si>
    <t>U0207</t>
  </si>
  <si>
    <t>Creating YouTube video scripts, Designing social media graphics with AI image generators, Writing blog content for tech topics</t>
  </si>
  <si>
    <t>U0208</t>
  </si>
  <si>
    <t>Creating social media captions and posts, Generating blog content outlines, Editing and enhancing product photos for e-commerce posts</t>
  </si>
  <si>
    <t>U0209</t>
  </si>
  <si>
    <t>Digital Content Creator</t>
  </si>
  <si>
    <t>Generating social media captions with AI, Creating blog post drafts using language models, Editing photos and videos with AI tools, Scheduling posts across multiple platforms</t>
  </si>
  <si>
    <t>U0210</t>
  </si>
  <si>
    <t>Summarizing research papers for assignments, generating study guides from lecture notes, creating practice questions for exams</t>
  </si>
  <si>
    <t>U0211</t>
  </si>
  <si>
    <t>Literature review and paper summarization, Data analysis for lab experiments, Generating research hypotheses, Technical documentation and report writing</t>
  </si>
  <si>
    <t>U0212</t>
  </si>
  <si>
    <t>Creating social media content using AI writing tools, Generating blog post outlines and scripts for YouTube videos, Designing graphics and promotional materials with AI image generators</t>
  </si>
  <si>
    <t>U0213</t>
  </si>
  <si>
    <t>German Literature and Comparative Studies Student</t>
  </si>
  <si>
    <t>Essay drafting and structuring, Literature analysis and research assistance, Creative writing feedback and editing</t>
  </si>
  <si>
    <t>U0214</t>
  </si>
  <si>
    <t>Essay composition and refinement, Research paper writing and citation organization, Creative story development and editing</t>
  </si>
  <si>
    <t>U0215</t>
  </si>
  <si>
    <t>Drafting research papers on literary analysis, brainstorming essay outlines, proofreading and refining academic writing, generating content summaries for thesis work</t>
  </si>
  <si>
    <t>U0216</t>
  </si>
  <si>
    <t>Debugging code with AI assistance, Learning new programming frameworks, Writing and testing algorithms, Code optimization and refactoring</t>
  </si>
  <si>
    <t>U0217</t>
  </si>
  <si>
    <t>Resolving customer inquiries using AI chatbot platforms, drafting personalized email responses with AI writing assistants, analyzing customer sentiment with AI tools, managing support tickets with AI-powered ticketing systems</t>
  </si>
  <si>
    <t>U0218</t>
  </si>
  <si>
    <t>Desenvolvedor de Sistemas Junior</t>
  </si>
  <si>
    <t>Escrever código Python e JavaScript com assistência de IA, debugar aplicações usando ferramentas de análise de código, otimizar queries de banco de dados com sugestões de IA</t>
  </si>
  <si>
    <t>U0219</t>
  </si>
  <si>
    <t>Artificial Intelligence and Machine Learning Student</t>
  </si>
  <si>
    <t>Debugging Python code with AI-powered IDE plugins, Generating optimization algorithms for data structures, Writing and testing unit tests for complex modules</t>
  </si>
  <si>
    <t>U0220</t>
  </si>
  <si>
    <t>Assistente Administrativo</t>
  </si>
  <si>
    <t>Email management and scheduling with AI assistance, Document organization and data entry using AI tools, Budget tracking and spreadsheet analysis, Report generation and formatting</t>
  </si>
  <si>
    <t>U0221</t>
  </si>
  <si>
    <t>Software Development Student</t>
  </si>
  <si>
    <t>Debugging Python code with AI assistance, generating boilerplate code templates, learning JavaScript syntax through AI explanations</t>
  </si>
  <si>
    <t>U0222</t>
  </si>
  <si>
    <t>Using AI to explain complex concepts like cellular respiration and photosynthesis, generating practice questions for AP Biology exams, summarizing dense textbook chapters into study notes</t>
  </si>
  <si>
    <t>U0223</t>
  </si>
  <si>
    <t>Marketing Communications Officer</t>
  </si>
  <si>
    <t>AI-assisted content writing for social media and marketing campaigns, proofreading and editing copy with AI grammar tools, generating email newsletters and promotional materials</t>
  </si>
  <si>
    <t>U0224</t>
  </si>
  <si>
    <t>Physics Student</t>
  </si>
  <si>
    <t>Using AI for solving complex physics problems, generating practice questions for JEE preparation, translating physics concepts into simpler explanations</t>
  </si>
  <si>
    <t>U0225</t>
  </si>
  <si>
    <t>Statistical analysis on datasets, data visualization with Python libraries, predictive modeling for coursework, business intelligence report generation</t>
  </si>
  <si>
    <t>U0226</t>
  </si>
  <si>
    <t>Social Media Content Creator / Digital Marketer</t>
  </si>
  <si>
    <t>Creating engaging social media posts with AI writing tools, Generating captions and hashtags using AI, Editing and optimizing images with AI-powered design tools, Producing video content summaries and descriptions</t>
  </si>
  <si>
    <t>U0227</t>
  </si>
  <si>
    <t>Essay structuring and outline generation, thesis statement refinement, academic paper proofreading and grammar checking, creative writing brainstorming</t>
  </si>
  <si>
    <t>U0228</t>
  </si>
  <si>
    <t>Literature review for lab reports, summarizing research papers on molecular genetics, generating study notes from scientific articles</t>
  </si>
  <si>
    <t>U0229</t>
  </si>
  <si>
    <t>Essay drafting and editing, creative writing brainstorming, research paper organization, grammar and tone refinement</t>
  </si>
  <si>
    <t>U0230</t>
  </si>
  <si>
    <t>Kundenbetreuerin mit KI-Unterstützung</t>
  </si>
  <si>
    <t>Automatisierte E-Mail-Beantwortung mit KI-Chatbots, Ticketklassifizierung und Priorisierung, Live-Chat-Support mit KI-Textvorschlägen, Kundenprobleme analysieren und Lösungen dokumentieren</t>
  </si>
  <si>
    <t>U0231</t>
  </si>
  <si>
    <t>Building predictive models with machine learning algorithms, Creating automated dashboards for business intelligence, Cleaning and transforming large datasets for analysis</t>
  </si>
  <si>
    <t>U0232</t>
  </si>
  <si>
    <t>Analyste de Données / Data Analyst</t>
  </si>
  <si>
    <t>Nettoyage et préparation de données avec Python, création de dashboards interactifs sur Power BI, analyse statistique de tendances marché, génération de rapports automatisés avec SQL</t>
  </si>
  <si>
    <t>U0233</t>
  </si>
  <si>
    <t>Gerente de Atendimento ao Cliente</t>
  </si>
  <si>
    <t>Implementar chatbots para respostas automáticas, supervisionar equipe de suporte via AI analytics, analisar satisfação de clientes com ferramentas de IA</t>
  </si>
  <si>
    <t>U0234</t>
  </si>
  <si>
    <t>Essay composition and structure planning, grammar and style checking, research paper organization, content brainstorming for creative writing assignments</t>
  </si>
  <si>
    <t>U0235</t>
  </si>
  <si>
    <t>Senior Content Strategist</t>
  </si>
  <si>
    <t>AI-assisted article writing, generating blog post outlines, proofreading and editing content using AI tools, creating marketing copy</t>
  </si>
  <si>
    <t>U0236</t>
  </si>
  <si>
    <t>Literature review using AI-powered academic databases, predictive data analysis with machine learning algorithms, research paper summarization and content extraction, hypothesis validation through automated statistical modeling</t>
  </si>
  <si>
    <t>U0237</t>
  </si>
  <si>
    <t>Customer Experience Manager</t>
  </si>
  <si>
    <t>Implementing AI chatbots for customer inquiries, analyzing customer feedback using NLP tools, managing support ticket automation with AI systems</t>
  </si>
  <si>
    <t>U0238</t>
  </si>
  <si>
    <t>Digital Media Student</t>
  </si>
  <si>
    <t>Creating social media graphics with AI design tools, Writing blog posts and articles with AI writing assistants, Generating video scripts and editing content with AI video tools</t>
  </si>
  <si>
    <t>U0239</t>
  </si>
  <si>
    <t>Code review and optimization using AI assistants, automated bug detection and debugging with AI tools, AI-assisted documentation generation, infrastructure code maintenance</t>
  </si>
  <si>
    <t>U0240</t>
  </si>
  <si>
    <t>Debugging Python code with AI assistance, Generating boilerplate code for data preprocessing, Optimizing neural network architectures</t>
  </si>
  <si>
    <t>U0241</t>
  </si>
  <si>
    <t>Using AI to generate practice exam questions, getting help understanding complex concepts like cellular respiration, summarizing textbook chapters for study notes</t>
  </si>
  <si>
    <t>U0242</t>
  </si>
  <si>
    <t>Email management and scheduling using AI, document formatting and report generation, data entry and spreadsheet organization, customer inquiry responses</t>
  </si>
  <si>
    <t>U0243</t>
  </si>
  <si>
    <t>Drafting customer responses using AI writing assistants, analyzing customer feedback with sentiment analysis tools, resolving FAQs using AI knowledge base systems, escalating complex issues to senior staff</t>
  </si>
  <si>
    <t>U0244</t>
  </si>
  <si>
    <t>Generating practice problem sets, debugging Python code, summarizing research papers, creating study guides for exams</t>
  </si>
  <si>
    <t>U0245</t>
  </si>
  <si>
    <t>Email management and scheduling, document preparation using word processors, data entry and spreadsheet management, basic report generation</t>
  </si>
  <si>
    <t>U0246</t>
  </si>
  <si>
    <t>Développeur Full Stack</t>
  </si>
  <si>
    <t>Automated code review with AI-powered linters, Generated boilerplate code and API endpoints using GitHub Copilot, Debugged complex algorithms with AI assistance, Optimized database queries using AI suggestions</t>
  </si>
  <si>
    <t>U0247</t>
  </si>
  <si>
    <t>Data Analyst / Business Intelligence Specialist</t>
  </si>
  <si>
    <t>Cleaning and preprocessing datasets using Python and SQL, Building predictive models with machine learning libraries, Creating automated dashboards and reports with Power BI or Tableau, Performing statistical analysis and A/B testing</t>
  </si>
  <si>
    <t>U0248</t>
  </si>
  <si>
    <t>Generating blog content using AI writing assistants, creating social media copy with AI tools, editing and refining multimedia content with AI enhancement software, developing content calendars and briefs</t>
  </si>
  <si>
    <t>U0249</t>
  </si>
  <si>
    <t>Debugging code with AI-assisted error detection, writing automated unit tests using AI code generation, refactoring legacy code with AI suggestions</t>
  </si>
  <si>
    <t>U0250</t>
  </si>
  <si>
    <t>Generating study summaries from lecture notes, debugging Python code for machine learning assignments, explaining complex statistical concepts and algorithms</t>
  </si>
  <si>
    <t>U0251</t>
  </si>
  <si>
    <t>Literature review and scientific paper analysis, data analysis and statistical interpretation, hypothesis generation and research methodology planning</t>
  </si>
  <si>
    <t>U0252</t>
  </si>
  <si>
    <t>Research Scientist</t>
  </si>
  <si>
    <t>Literature review analysis using AI tools, Research data synthesis and pattern identification, Experimental hypothesis generation using machine learning models, Scientific paper writing and citation management with AI assistance</t>
  </si>
  <si>
    <t>U0253</t>
  </si>
  <si>
    <t>Responding to customer inquiries using AI-powered chatbots, analyzing customer feedback with sentiment analysis tools, drafting personalized support responses, resolving billing issues</t>
  </si>
  <si>
    <t>U0254</t>
  </si>
  <si>
    <t>Using AI chatbots to handle routine customer inquiries, training support staff on AI tools, monitoring AI-assisted ticket resolution quality</t>
  </si>
  <si>
    <t>U0255</t>
  </si>
  <si>
    <t>Code generation and debugging with AI assistants, automated testing and deployment pipeline optimization, machine learning model implementation and optimization</t>
  </si>
  <si>
    <t>U0256</t>
  </si>
  <si>
    <t>Customer Service Executive</t>
  </si>
  <si>
    <t>AI chatbot management for customer inquiries, complaint resolution using AI ticketing systems, customer feedback analysis with AI sentiment analysis tools</t>
  </si>
  <si>
    <t>U0257</t>
  </si>
  <si>
    <t>Desenvolvedora de Sistemas Júnior</t>
  </si>
  <si>
    <t>Utilizar GitHub Copilot para autocompletar código, usar ChatGPT para debugar erros em Python, aplicar IA para gerar testes automatizados</t>
  </si>
  <si>
    <t>U0258</t>
  </si>
  <si>
    <t>Literature review and paper summarization, Data analysis and interpretation, Research proposal drafting, Scientific article finding and organization</t>
  </si>
  <si>
    <t>U0259</t>
  </si>
  <si>
    <t>Engenheiro de Software Sênior / Tech Lead</t>
  </si>
  <si>
    <t>Desenvolvimento de algoritmos com assistência de IA, code review automatizado com ferramentas de IA, arquitetura de sistemas de software, mentoria de equipes em práticas de desenvolvimento com IA</t>
  </si>
  <si>
    <t>U0260</t>
  </si>
  <si>
    <t>Biotechnology PhD Student</t>
  </si>
  <si>
    <t>Research paper summarization and literature review, experimental data analysis and visualization, thesis writing and citation management, concept clarification through AI tutoring</t>
  </si>
  <si>
    <t>U0261</t>
  </si>
  <si>
    <t>Debugging code with AI assistance, generating boilerplate code for projects, learning new programming languages and frameworks</t>
  </si>
  <si>
    <t>U0262</t>
  </si>
  <si>
    <t>Essay drafting and structure planning, Grammar checking and proofreading, Research paper summarization, Creative writing feedback and refinement</t>
  </si>
  <si>
    <t>U0263</t>
  </si>
  <si>
    <t>Using AI to generate study summaries for exam preparation, getting help with practice problem solutions, organizing research paper notes</t>
  </si>
  <si>
    <t>U0264</t>
  </si>
  <si>
    <t>Desenvolvedora de Software / Software Developer</t>
  </si>
  <si>
    <t>Usar GitHub Copilot para autocompletar código, debugar aplicações com assistência de IA, otimizar algoritmos com sugestões de IA, revisar e refatorar código existente</t>
  </si>
  <si>
    <t>U0265</t>
  </si>
  <si>
    <t>AI-assisted blog post creation, email copywriting with AI tools, social media content generation, SEO-optimized article drafting</t>
  </si>
  <si>
    <t>U0266</t>
  </si>
  <si>
    <t>Research Scientist / Data Analyst</t>
  </si>
  <si>
    <t>Automated report generation using AI, Data analysis and visualization with machine learning, Document processing and knowledge management, Research paper summarization and literature review automation</t>
  </si>
  <si>
    <t>U0267</t>
  </si>
  <si>
    <t>Statistical modeling of biological datasets, machine learning prediction model development, exploratory data analysis of genomic sequences, data visualization and interpretation</t>
  </si>
  <si>
    <t>U0268</t>
  </si>
  <si>
    <t>Using AI to generate study summaries, practice exam questions, and lab report writing assistance</t>
  </si>
  <si>
    <t>U0269</t>
  </si>
  <si>
    <t>Data analysis using AI-powered analytics tools, automated report generation, process optimization modelling, AI-assisted business intelligence reporting</t>
  </si>
  <si>
    <t>U0270</t>
  </si>
  <si>
    <t>Softwareentwickler (Software Developer)</t>
  </si>
  <si>
    <t>Code generation and bug fixing with AI assistants, refactoring legacy code, AI-powered code review and optimization</t>
  </si>
  <si>
    <t>U0271</t>
  </si>
  <si>
    <t>Code debugging and optimization using AI assistants, automated test case generation, API integration and documentation, algorithm optimization suggestions</t>
  </si>
  <si>
    <t>U0272</t>
  </si>
  <si>
    <t>Literature review and survey compilation, Statistical data analysis and visualization, Research paper summarization and citation tracking</t>
  </si>
  <si>
    <t>U0273</t>
  </si>
  <si>
    <t>Creating social media graphics and promotional videos, writing blog posts and articles with AI assistance, designing visual content for class projects</t>
  </si>
  <si>
    <t>U0274</t>
  </si>
  <si>
    <t>Running SQL queries and Python scripts to extract and clean datasets, Creating interactive dashboards and visualizations in Tableau, Performing statistical analysis and generating insights reports</t>
  </si>
  <si>
    <t>U0275</t>
  </si>
  <si>
    <t>Statistics Student</t>
  </si>
  <si>
    <t>Analyzing survey datasets using Python, Creating data visualizations with matplotlib and seaborn, Performing statistical hypothesis testing on project data</t>
  </si>
  <si>
    <t>U0276</t>
  </si>
  <si>
    <t>Essay drafting and structure planning, grammar checking and proofreading, creative writing prompts for assignments, research paper organization and citation formatting</t>
  </si>
  <si>
    <t>U0277</t>
  </si>
  <si>
    <t>Essay structuring and outlining, grammar and clarity checking, creative writing feedback and refinement, research paper organization</t>
  </si>
  <si>
    <t>U0278</t>
  </si>
  <si>
    <t>Generating practice problems and solutions for thermodynamics assignments, debugging Python code for finite element analysis projects, summarizing lecture notes on fluid mechanics concepts</t>
  </si>
  <si>
    <t>U0279</t>
  </si>
  <si>
    <t>Code review and debugging using AI assistants, automated testing script generation, documentation and comment generation, API integration optimization</t>
  </si>
  <si>
    <t>U0280</t>
  </si>
  <si>
    <t>Debugging Python code with AI assistance, generating code snippets for machine learning projects, optimizing algorithm performance, documenting technical solutions</t>
  </si>
  <si>
    <t>U0281</t>
  </si>
  <si>
    <t>Essay structuring and outlining, Research paper writing assistance, Academic content proofreading and editing, Creative writing feedback generation</t>
  </si>
  <si>
    <t>U0282</t>
  </si>
  <si>
    <t>Literature review automation, data analysis and visualization, competitor intelligence gathering, research report generation</t>
  </si>
  <si>
    <t>U0283</t>
  </si>
  <si>
    <t>Building predictive models with Python and scikit-learn, Automating data pipeline creation with AI assistants, Generating business intelligence dashboards and reports, Interpreting complex datasets for stakeholder insights</t>
  </si>
  <si>
    <t>U0284</t>
  </si>
  <si>
    <t>Softwareentwicklerin (Software Developer)</t>
  </si>
  <si>
    <t>Code generation and debugging with AI assistants, automated testing and code quality analysis, documentation generation from code, rapid prototyping of features</t>
  </si>
  <si>
    <t>U0285</t>
  </si>
  <si>
    <t>U0286</t>
  </si>
  <si>
    <t>Especialista em Atendimento ao Cliente com IA</t>
  </si>
  <si>
    <t>Automatizar respostas de chatbot para FAQ, analisar sentimento de clientes em redes sociais, gerenciar tickets de suporte com priorização inteligente, personalizar recomendações de produtos</t>
  </si>
  <si>
    <t>U0287</t>
  </si>
  <si>
    <t>Generating solved examples for thermodynamics problems, Creating study summaries from lecture notes, Debugging code for programming assignments</t>
  </si>
  <si>
    <t>U0288</t>
  </si>
  <si>
    <t>Senior Software Engineer / Technical Lead</t>
  </si>
  <si>
    <t>Code generation and debugging using AI, automated code review and optimization, rapid prototyping using AI-assisted development frameworks, API design and documentation using AI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</si>
</sst>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name val="Calibri"/>
    </font>
    <font>
      <b/>
      <sz val="24"/>
      <name val="Calibri"/>
    </font>
  </fonts>
  <fills count="4">
    <fill>
      <patternFill patternType="none"/>
    </fill>
    <fill>
      <patternFill patternType="gray125"/>
    </fill>
    <fill>
      <patternFill patternType="solid">
        <fgColor rgb="FFA9D18E"/>
      </patternFill>
    </fill>
    <fill>
      <patternFill patternType="solid">
        <fgColor rgb="FFFFD9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xf numFmtId="0" fontId="2" fillId="0" borderId="1" xfId="0" applyFont="1" applyBorder="1" applyAlignment="1">
      <alignment indent="1"/>
    </xf>
    <xf numFmtId="0" fontId="2" fillId="0" borderId="1" xfId="0" applyFont="1" applyBorder="1"/>
    <xf numFmtId="0" fontId="0" fillId="2" borderId="0" xfId="0" applyFill="1"/>
    <xf numFmtId="0" fontId="1" fillId="0" borderId="0" xfId="0" applyFont="1"/>
    <xf numFmtId="0" fontId="3" fillId="3"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solidFill>
                  <a:srgbClr val="262626"/>
                </a:solidFill>
              </a:defRPr>
            </a:pPr>
            <a:r>
              <a:rPr lang="en-IN" sz="1800" b="0">
                <a:solidFill>
                  <a:srgbClr val="262626"/>
                </a:solidFill>
              </a:rPr>
              <a:t>Count of Country</a:t>
            </a:r>
          </a:p>
        </c:rich>
      </c:tx>
      <c:overlay val="1"/>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tx>
            <c:strRef>
              <c:f>pivottable!$B$17</c:f>
              <c:strCache>
                <c:ptCount val="1"/>
                <c:pt idx="0">
                  <c:v>Count of Country</c:v>
                </c:pt>
              </c:strCache>
            </c:strRef>
          </c:tx>
          <c:spPr>
            <a:ln>
              <a:prstDash val="solid"/>
            </a:ln>
          </c:spPr>
          <c:invertIfNegative val="1"/>
          <c:dLbls>
            <c:spPr>
              <a:noFill/>
              <a:ln>
                <a:noFill/>
              </a:ln>
              <a:effectLst/>
            </c:spPr>
            <c:txPr>
              <a:bodyPr/>
              <a:lstStyle/>
              <a:p>
                <a:pPr>
                  <a:defRPr sz="1000" b="1">
                    <a:solidFill>
                      <a:srgbClr val="262626"/>
                    </a:solidFill>
                    <a:latin typeface="Calibri"/>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pivottable!$A$18:$A$21</c:f>
              <c:strCache>
                <c:ptCount val="4"/>
                <c:pt idx="0">
                  <c:v>Maybe</c:v>
                </c:pt>
                <c:pt idx="1">
                  <c:v>No</c:v>
                </c:pt>
                <c:pt idx="2">
                  <c:v>Unknown</c:v>
                </c:pt>
                <c:pt idx="3">
                  <c:v>Yes</c:v>
                </c:pt>
              </c:strCache>
            </c:strRef>
          </c:cat>
          <c:val>
            <c:numRef>
              <c:f>pivottable!$B$18:$B$21</c:f>
              <c:numCache>
                <c:formatCode>General</c:formatCode>
                <c:ptCount val="4"/>
                <c:pt idx="0">
                  <c:v>41</c:v>
                </c:pt>
                <c:pt idx="1">
                  <c:v>67</c:v>
                </c:pt>
                <c:pt idx="2">
                  <c:v>5</c:v>
                </c:pt>
                <c:pt idx="3">
                  <c:v>165</c:v>
                </c:pt>
              </c:numCache>
            </c:numRef>
          </c:val>
          <c:extLst>
            <c:ext xmlns:c16="http://schemas.microsoft.com/office/drawing/2014/chart" uri="{C3380CC4-5D6E-409C-BE32-E72D297353CC}">
              <c16:uniqueId val="{00000000-7C2A-4F99-B05E-005AE16B9E4B}"/>
            </c:ext>
          </c:extLst>
        </c:ser>
        <c:dLbls>
          <c:showLegendKey val="0"/>
          <c:showVal val="1"/>
          <c:showCatName val="0"/>
          <c:showSerName val="0"/>
          <c:showPercent val="1"/>
          <c:showBubbleSize val="1"/>
        </c:dLbls>
        <c:gapWidth val="150"/>
        <c:shape val="box"/>
        <c:axId val="10"/>
        <c:axId val="100"/>
        <c:axId val="1000"/>
      </c:bar3D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serAx>
        <c:axId val="1000"/>
        <c:scaling>
          <c:orientation val="minMax"/>
        </c:scaling>
        <c:delete val="1"/>
        <c:axPos val="b"/>
        <c:majorTickMark val="none"/>
        <c:minorTickMark val="none"/>
        <c:tickLblPos val="nextTo"/>
        <c:crossAx val="10"/>
        <c:crosses val="autoZero"/>
      </c:serAx>
    </c:plotArea>
    <c:legend>
      <c:legendPos val="r"/>
      <c:overlay val="0"/>
      <c:txPr>
        <a:bodyPr/>
        <a:lstStyle/>
        <a:p>
          <a:pPr>
            <a:defRPr sz="1000" b="0">
              <a:solidFill>
                <a:srgbClr val="262626"/>
              </a:solidFill>
              <a:latin typeface="Calibri"/>
            </a:defRPr>
          </a:pPr>
          <a:endParaRPr lang="en-US"/>
        </a:p>
      </c:txPr>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solidFill>
                  <a:srgbClr val="FFFFFF"/>
                </a:solidFill>
              </a:defRPr>
            </a:pPr>
            <a:r>
              <a:rPr lang="en-IN" sz="1800" b="0">
                <a:solidFill>
                  <a:srgbClr val="FFFFFF"/>
                </a:solidFill>
              </a:rPr>
              <a:t>Total</a:t>
            </a:r>
          </a:p>
        </c:rich>
      </c:tx>
      <c:overlay val="1"/>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tx>
            <c:strRef>
              <c:f>pivottable!$B$31</c:f>
              <c:strCache>
                <c:ptCount val="1"/>
                <c:pt idx="0">
                  <c:v>Count of AI_Tool</c:v>
                </c:pt>
              </c:strCache>
            </c:strRef>
          </c:tx>
          <c:spPr>
            <a:ln>
              <a:prstDash val="solid"/>
            </a:ln>
          </c:spPr>
          <c:invertIfNegative val="1"/>
          <c:dLbls>
            <c:spPr>
              <a:noFill/>
              <a:ln>
                <a:noFill/>
              </a:ln>
              <a:effectLst/>
            </c:spPr>
            <c:txPr>
              <a:bodyPr/>
              <a:lstStyle/>
              <a:p>
                <a:pPr>
                  <a:defRPr sz="1000" b="1">
                    <a:solidFill>
                      <a:srgbClr val="FFFFFF"/>
                    </a:solidFill>
                    <a:latin typeface="Calibri"/>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pivottable!$A$32:$A$35</c:f>
              <c:strCache>
                <c:ptCount val="4"/>
                <c:pt idx="0">
                  <c:v>Maybe</c:v>
                </c:pt>
                <c:pt idx="1">
                  <c:v>No</c:v>
                </c:pt>
                <c:pt idx="2">
                  <c:v>Unknown</c:v>
                </c:pt>
                <c:pt idx="3">
                  <c:v>Yes</c:v>
                </c:pt>
              </c:strCache>
            </c:strRef>
          </c:cat>
          <c:val>
            <c:numRef>
              <c:f>pivottable!$B$32:$B$35</c:f>
              <c:numCache>
                <c:formatCode>General</c:formatCode>
                <c:ptCount val="4"/>
                <c:pt idx="0">
                  <c:v>41</c:v>
                </c:pt>
                <c:pt idx="1">
                  <c:v>70</c:v>
                </c:pt>
                <c:pt idx="2">
                  <c:v>5</c:v>
                </c:pt>
                <c:pt idx="3">
                  <c:v>162</c:v>
                </c:pt>
              </c:numCache>
            </c:numRef>
          </c:val>
          <c:extLst>
            <c:ext xmlns:c16="http://schemas.microsoft.com/office/drawing/2014/chart" uri="{C3380CC4-5D6E-409C-BE32-E72D297353CC}">
              <c16:uniqueId val="{00000000-5185-43AF-B42D-35E9A632C732}"/>
            </c:ext>
          </c:extLst>
        </c:ser>
        <c:dLbls>
          <c:showLegendKey val="0"/>
          <c:showVal val="1"/>
          <c:showCatName val="0"/>
          <c:showSerName val="0"/>
          <c:showPercent val="1"/>
          <c:showBubbleSize val="1"/>
        </c:dLbls>
        <c:gapWidth val="150"/>
        <c:shape val="box"/>
        <c:axId val="10"/>
        <c:axId val="100"/>
        <c:axId val="1000"/>
      </c:bar3D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serAx>
        <c:axId val="1000"/>
        <c:scaling>
          <c:orientation val="minMax"/>
        </c:scaling>
        <c:delete val="1"/>
        <c:axPos val="b"/>
        <c:majorTickMark val="none"/>
        <c:minorTickMark val="none"/>
        <c:tickLblPos val="nextTo"/>
        <c:crossAx val="10"/>
        <c:crosses val="autoZero"/>
      </c:serAx>
    </c:plotArea>
    <c:legend>
      <c:legendPos val="r"/>
      <c:overlay val="0"/>
      <c:txPr>
        <a:bodyPr/>
        <a:lstStyle/>
        <a:p>
          <a:pPr>
            <a:defRPr sz="1000" b="0">
              <a:solidFill>
                <a:srgbClr val="FFFFFF"/>
              </a:solidFill>
              <a:latin typeface="Calibri"/>
            </a:defRPr>
          </a:pPr>
          <a:endParaRPr lang="en-US"/>
        </a:p>
      </c:txPr>
    </c:legend>
    <c:plotVisOnly val="1"/>
    <c:dispBlanksAs val="gap"/>
    <c:showDLblsOverMax val="1"/>
  </c:chart>
  <c:spPr>
    <a:solidFill>
      <a:srgbClr val="404040"/>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solidFill>
                  <a:srgbClr val="262626"/>
                </a:solidFill>
              </a:defRPr>
            </a:pPr>
            <a:r>
              <a:rPr lang="en-IN" sz="1800" b="0">
                <a:solidFill>
                  <a:srgbClr val="262626"/>
                </a:solidFill>
              </a:rPr>
              <a:t>Total users</a:t>
            </a:r>
          </a:p>
        </c:rich>
      </c:tx>
      <c:overlay val="1"/>
    </c:title>
    <c:autoTitleDeleted val="0"/>
    <c:view3D>
      <c:rotX val="15"/>
      <c:rotY val="0"/>
      <c:rAngAx val="0"/>
    </c:view3D>
    <c:floor>
      <c:thickness val="0"/>
    </c:floor>
    <c:sideWall>
      <c:thickness val="0"/>
    </c:sideWall>
    <c:backWall>
      <c:thickness val="0"/>
    </c:backWall>
    <c:plotArea>
      <c:layout/>
      <c:pie3DChart>
        <c:varyColors val="1"/>
        <c:ser>
          <c:idx val="0"/>
          <c:order val="0"/>
          <c:tx>
            <c:strRef>
              <c:f>pivottable!$B$3</c:f>
              <c:strCache>
                <c:ptCount val="1"/>
                <c:pt idx="0">
                  <c:v>Count of User_ID</c:v>
                </c:pt>
              </c:strCache>
            </c:strRef>
          </c:tx>
          <c:spPr>
            <a:ln>
              <a:prstDash val="solid"/>
            </a:ln>
          </c:spPr>
          <c:dLbls>
            <c:spPr>
              <a:noFill/>
              <a:ln>
                <a:noFill/>
              </a:ln>
              <a:effectLst/>
            </c:spPr>
            <c:txPr>
              <a:bodyPr/>
              <a:lstStyle/>
              <a:p>
                <a:pPr>
                  <a:defRPr sz="1000" b="1">
                    <a:solidFill>
                      <a:srgbClr val="262626"/>
                    </a:solidFill>
                    <a:latin typeface="Calibri"/>
                  </a:defRPr>
                </a:pPr>
                <a:endParaRPr lang="en-US"/>
              </a:p>
            </c:txPr>
            <c:showLegendKey val="0"/>
            <c:showVal val="0"/>
            <c:showCatName val="0"/>
            <c:showSerName val="0"/>
            <c:showPercent val="1"/>
            <c:showBubbleSize val="1"/>
            <c:showLeaderLines val="1"/>
            <c:extLst>
              <c:ext xmlns:c15="http://schemas.microsoft.com/office/drawing/2012/chart" uri="{CE6537A1-D6FC-4f65-9D91-7224C49458BB}"/>
            </c:extLst>
          </c:dLbls>
          <c:cat>
            <c:strRef>
              <c:f>pivottable!$A$4:$A$7</c:f>
              <c:strCache>
                <c:ptCount val="4"/>
                <c:pt idx="0">
                  <c:v>Maybe</c:v>
                </c:pt>
                <c:pt idx="1">
                  <c:v>No</c:v>
                </c:pt>
                <c:pt idx="2">
                  <c:v>Unknown</c:v>
                </c:pt>
                <c:pt idx="3">
                  <c:v>Yes</c:v>
                </c:pt>
              </c:strCache>
            </c:strRef>
          </c:cat>
          <c:val>
            <c:numRef>
              <c:f>pivottable!$B$4:$B$7</c:f>
              <c:numCache>
                <c:formatCode>General</c:formatCode>
                <c:ptCount val="4"/>
                <c:pt idx="0">
                  <c:v>42</c:v>
                </c:pt>
                <c:pt idx="1">
                  <c:v>71</c:v>
                </c:pt>
                <c:pt idx="2">
                  <c:v>5</c:v>
                </c:pt>
                <c:pt idx="3">
                  <c:v>170</c:v>
                </c:pt>
              </c:numCache>
            </c:numRef>
          </c:val>
          <c:extLst>
            <c:ext xmlns:c16="http://schemas.microsoft.com/office/drawing/2014/chart" uri="{C3380CC4-5D6E-409C-BE32-E72D297353CC}">
              <c16:uniqueId val="{00000000-5555-415D-A8A0-5026AE77D780}"/>
            </c:ext>
          </c:extLst>
        </c:ser>
        <c:dLbls>
          <c:showLegendKey val="0"/>
          <c:showVal val="0"/>
          <c:showCatName val="0"/>
          <c:showSerName val="0"/>
          <c:showPercent val="1"/>
          <c:showBubbleSize val="1"/>
          <c:showLeaderLines val="1"/>
        </c:dLbls>
      </c:pie3DChart>
    </c:plotArea>
    <c:legend>
      <c:legendPos val="r"/>
      <c:overlay val="1"/>
      <c:txPr>
        <a:bodyPr/>
        <a:lstStyle/>
        <a:p>
          <a:pPr>
            <a:defRPr sz="1000" b="0">
              <a:solidFill>
                <a:srgbClr val="262626"/>
              </a:solidFill>
              <a:latin typeface="Calibri"/>
            </a:defRPr>
          </a:pPr>
          <a:endParaRPr lang="en-US"/>
        </a:p>
      </c:txPr>
    </c:legend>
    <c:plotVisOnly val="1"/>
    <c:dispBlanksAs val="gap"/>
    <c:showDLblsOverMax val="1"/>
  </c:chart>
  <c:spPr>
    <a:solidFill>
      <a:srgbClr val="EDEDED"/>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solidFill>
                  <a:srgbClr val="FFFFFF"/>
                </a:solidFill>
              </a:defRPr>
            </a:pPr>
            <a:r>
              <a:rPr lang="en-IN" sz="1800" b="0">
                <a:solidFill>
                  <a:srgbClr val="FFFFFF"/>
                </a:solidFill>
              </a:rPr>
              <a:t>Total</a:t>
            </a:r>
          </a:p>
        </c:rich>
      </c:tx>
      <c:overlay val="1"/>
    </c:title>
    <c:autoTitleDeleted val="0"/>
    <c:view3D>
      <c:rotX val="15"/>
      <c:rotY val="20"/>
      <c:rAngAx val="0"/>
    </c:view3D>
    <c:floor>
      <c:thickness val="0"/>
    </c:floor>
    <c:sideWall>
      <c:thickness val="0"/>
    </c:sideWall>
    <c:backWall>
      <c:thickness val="0"/>
    </c:backWall>
    <c:plotArea>
      <c:layout/>
      <c:line3DChart>
        <c:grouping val="standard"/>
        <c:varyColors val="1"/>
        <c:ser>
          <c:idx val="0"/>
          <c:order val="0"/>
          <c:tx>
            <c:strRef>
              <c:f>pivottable!$B$45</c:f>
              <c:strCache>
                <c:ptCount val="1"/>
                <c:pt idx="0">
                  <c:v>Count of AI_Purpose</c:v>
                </c:pt>
              </c:strCache>
            </c:strRef>
          </c:tx>
          <c:spPr>
            <a:ln>
              <a:prstDash val="solid"/>
            </a:ln>
          </c:spPr>
          <c:dLbls>
            <c:spPr>
              <a:noFill/>
              <a:ln>
                <a:noFill/>
              </a:ln>
              <a:effectLst/>
            </c:spPr>
            <c:txPr>
              <a:bodyPr/>
              <a:lstStyle/>
              <a:p>
                <a:pPr>
                  <a:defRPr sz="1000" b="1">
                    <a:solidFill>
                      <a:srgbClr val="FFFFFF"/>
                    </a:solidFill>
                    <a:latin typeface="Calibri"/>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pivottable!$A$46:$A$49</c:f>
              <c:strCache>
                <c:ptCount val="4"/>
                <c:pt idx="0">
                  <c:v>Maybe</c:v>
                </c:pt>
                <c:pt idx="1">
                  <c:v>No</c:v>
                </c:pt>
                <c:pt idx="2">
                  <c:v>Unknown</c:v>
                </c:pt>
                <c:pt idx="3">
                  <c:v>Yes</c:v>
                </c:pt>
              </c:strCache>
            </c:strRef>
          </c:cat>
          <c:val>
            <c:numRef>
              <c:f>pivottable!$B$46:$B$49</c:f>
              <c:numCache>
                <c:formatCode>General</c:formatCode>
                <c:ptCount val="4"/>
                <c:pt idx="0">
                  <c:v>42</c:v>
                </c:pt>
                <c:pt idx="1">
                  <c:v>67</c:v>
                </c:pt>
                <c:pt idx="2">
                  <c:v>5</c:v>
                </c:pt>
                <c:pt idx="3">
                  <c:v>161</c:v>
                </c:pt>
              </c:numCache>
            </c:numRef>
          </c:val>
          <c:smooth val="1"/>
          <c:extLst>
            <c:ext xmlns:c16="http://schemas.microsoft.com/office/drawing/2014/chart" uri="{C3380CC4-5D6E-409C-BE32-E72D297353CC}">
              <c16:uniqueId val="{00000000-9D86-4772-A5EB-5392472D5B6A}"/>
            </c:ext>
          </c:extLst>
        </c:ser>
        <c:dLbls>
          <c:showLegendKey val="0"/>
          <c:showVal val="1"/>
          <c:showCatName val="0"/>
          <c:showSerName val="0"/>
          <c:showPercent val="1"/>
          <c:showBubbleSize val="1"/>
        </c:dLbls>
        <c:axId val="10"/>
        <c:axId val="100"/>
        <c:axId val="1000"/>
      </c:line3D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serAx>
        <c:axId val="1000"/>
        <c:scaling>
          <c:orientation val="minMax"/>
        </c:scaling>
        <c:delete val="1"/>
        <c:axPos val="b"/>
        <c:majorTickMark val="none"/>
        <c:minorTickMark val="none"/>
        <c:tickLblPos val="nextTo"/>
        <c:crossAx val="10"/>
        <c:crosses val="autoZero"/>
      </c:serAx>
    </c:plotArea>
    <c:legend>
      <c:legendPos val="r"/>
      <c:overlay val="0"/>
      <c:txPr>
        <a:bodyPr/>
        <a:lstStyle/>
        <a:p>
          <a:pPr>
            <a:defRPr sz="1000" b="0">
              <a:solidFill>
                <a:srgbClr val="FFFFFF"/>
              </a:solidFill>
              <a:latin typeface="Calibri"/>
            </a:defRPr>
          </a:pPr>
          <a:endParaRPr lang="en-US"/>
        </a:p>
      </c:txPr>
    </c:legend>
    <c:plotVisOnly val="1"/>
    <c:dispBlanksAs val="gap"/>
    <c:showDLblsOverMax val="1"/>
  </c:chart>
  <c:spPr>
    <a:solidFill>
      <a:srgbClr val="262626"/>
    </a:solidFill>
    <a:ln>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3276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5</xdr:row>
      <xdr:rowOff>0</xdr:rowOff>
    </xdr:from>
    <xdr:ext cx="3276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11</xdr:col>
      <xdr:colOff>0</xdr:colOff>
      <xdr:row>5</xdr:row>
      <xdr:rowOff>0</xdr:rowOff>
    </xdr:from>
    <xdr:ext cx="3276000" cy="288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16</xdr:col>
      <xdr:colOff>0</xdr:colOff>
      <xdr:row>5</xdr:row>
      <xdr:rowOff>0</xdr:rowOff>
    </xdr:from>
    <xdr:ext cx="3276000" cy="288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B50"/>
  <sheetViews>
    <sheetView workbookViewId="0">
      <selection activeCell="B33" sqref="B33"/>
    </sheetView>
  </sheetViews>
  <sheetFormatPr defaultRowHeight="14.4"/>
  <cols>
    <col min="1" max="1" width="14" customWidth="1"/>
    <col min="2" max="2" width="22" customWidth="1"/>
  </cols>
  <sheetData>
    <row r="3" spans="1:2">
      <c r="A3" s="1" t="s">
        <v>1</v>
      </c>
      <c r="B3" s="1" t="s">
        <v>2</v>
      </c>
    </row>
    <row r="4" spans="1:2">
      <c r="A4" s="2" t="s">
        <v>3</v>
      </c>
      <c r="B4" s="3">
        <f>COUNTIFS(data!$S$2:$S$289,$A4,data!$A$2:$A$289,"&lt;&gt;")</f>
        <v>42</v>
      </c>
    </row>
    <row r="5" spans="1:2">
      <c r="A5" s="2" t="s">
        <v>4</v>
      </c>
      <c r="B5" s="3">
        <f>COUNTIFS(data!$S$2:$S$289,$A5,data!$A$2:$A$289,"&lt;&gt;")</f>
        <v>71</v>
      </c>
    </row>
    <row r="6" spans="1:2">
      <c r="A6" s="2" t="s">
        <v>5</v>
      </c>
      <c r="B6" s="3">
        <f>COUNTIFS(data!$S$2:$S$289,$A6,data!$A$2:$A$289,"&lt;&gt;")</f>
        <v>5</v>
      </c>
    </row>
    <row r="7" spans="1:2">
      <c r="A7" s="2" t="s">
        <v>6</v>
      </c>
      <c r="B7" s="3">
        <f>COUNTIFS(data!$S$2:$S$289,$A7,data!$A$2:$A$289,"&lt;&gt;")</f>
        <v>170</v>
      </c>
    </row>
    <row r="8" spans="1:2">
      <c r="A8" s="1" t="s">
        <v>7</v>
      </c>
      <c r="B8" s="1">
        <f>SUM(B4:B7)</f>
        <v>288</v>
      </c>
    </row>
    <row r="17" spans="1:2">
      <c r="A17" s="1" t="s">
        <v>1</v>
      </c>
      <c r="B17" s="1" t="s">
        <v>8</v>
      </c>
    </row>
    <row r="18" spans="1:2">
      <c r="A18" s="2" t="s">
        <v>3</v>
      </c>
      <c r="B18" s="3">
        <f>COUNTIFS(data!$S$2:$S$289,$A18,data!$D$2:$D$289,"&lt;&gt;")</f>
        <v>41</v>
      </c>
    </row>
    <row r="19" spans="1:2">
      <c r="A19" s="2" t="s">
        <v>4</v>
      </c>
      <c r="B19" s="3">
        <f>COUNTIFS(data!$S$2:$S$289,$A19,data!$D$2:$D$289,"&lt;&gt;")</f>
        <v>67</v>
      </c>
    </row>
    <row r="20" spans="1:2">
      <c r="A20" s="2" t="s">
        <v>5</v>
      </c>
      <c r="B20" s="3">
        <f>COUNTIFS(data!$S$2:$S$289,$A20,data!$D$2:$D$289,"&lt;&gt;")</f>
        <v>5</v>
      </c>
    </row>
    <row r="21" spans="1:2">
      <c r="A21" s="2" t="s">
        <v>6</v>
      </c>
      <c r="B21" s="3">
        <f>COUNTIFS(data!$S$2:$S$289,$A21,data!$D$2:$D$289,"&lt;&gt;")</f>
        <v>165</v>
      </c>
    </row>
    <row r="22" spans="1:2">
      <c r="A22" s="1" t="s">
        <v>7</v>
      </c>
      <c r="B22" s="1">
        <f>SUM(B18:B21)</f>
        <v>278</v>
      </c>
    </row>
    <row r="31" spans="1:2">
      <c r="A31" s="1" t="s">
        <v>1</v>
      </c>
      <c r="B31" s="1" t="s">
        <v>9</v>
      </c>
    </row>
    <row r="32" spans="1:2">
      <c r="A32" s="2" t="s">
        <v>3</v>
      </c>
      <c r="B32" s="3">
        <f>COUNTIFS(data!$S$2:$S$289,$A32,data!$I$2:$I$289,"&lt;&gt;")</f>
        <v>41</v>
      </c>
    </row>
    <row r="33" spans="1:2">
      <c r="A33" s="2" t="s">
        <v>4</v>
      </c>
      <c r="B33" s="3">
        <f>COUNTIFS(data!$S$2:$S$289,$A33,data!$I$2:$I$289,"&lt;&gt;")</f>
        <v>70</v>
      </c>
    </row>
    <row r="34" spans="1:2">
      <c r="A34" s="2" t="s">
        <v>5</v>
      </c>
      <c r="B34" s="3">
        <f>COUNTIFS(data!$S$2:$S$289,$A34,data!$I$2:$I$289,"&lt;&gt;")</f>
        <v>5</v>
      </c>
    </row>
    <row r="35" spans="1:2">
      <c r="A35" s="2" t="s">
        <v>6</v>
      </c>
      <c r="B35" s="3">
        <f>COUNTIFS(data!$S$2:$S$289,$A35,data!$I$2:$I$289,"&lt;&gt;")</f>
        <v>162</v>
      </c>
    </row>
    <row r="36" spans="1:2">
      <c r="A36" s="1" t="s">
        <v>7</v>
      </c>
      <c r="B36" s="1">
        <f>SUM(B32:B35)</f>
        <v>278</v>
      </c>
    </row>
    <row r="45" spans="1:2">
      <c r="A45" s="1" t="s">
        <v>1</v>
      </c>
      <c r="B45" s="1" t="s">
        <v>10</v>
      </c>
    </row>
    <row r="46" spans="1:2">
      <c r="A46" s="2" t="s">
        <v>3</v>
      </c>
      <c r="B46" s="3">
        <f>COUNTIFS(data!$S$2:$S$289,$A46,data!$J$2:$J$289,"&lt;&gt;")</f>
        <v>42</v>
      </c>
    </row>
    <row r="47" spans="1:2">
      <c r="A47" s="2" t="s">
        <v>4</v>
      </c>
      <c r="B47" s="3">
        <f>COUNTIFS(data!$S$2:$S$289,$A47,data!$J$2:$J$289,"&lt;&gt;")</f>
        <v>67</v>
      </c>
    </row>
    <row r="48" spans="1:2">
      <c r="A48" s="2" t="s">
        <v>5</v>
      </c>
      <c r="B48" s="3">
        <f>COUNTIFS(data!$S$2:$S$289,$A48,data!$J$2:$J$289,"&lt;&gt;")</f>
        <v>5</v>
      </c>
    </row>
    <row r="49" spans="1:2">
      <c r="A49" s="2" t="s">
        <v>6</v>
      </c>
      <c r="B49" s="3">
        <f>COUNTIFS(data!$S$2:$S$289,$A49,data!$J$2:$J$289,"&lt;&gt;")</f>
        <v>161</v>
      </c>
    </row>
    <row r="50" spans="1:2">
      <c r="A50" s="1" t="s">
        <v>7</v>
      </c>
      <c r="B50" s="1">
        <f>SUM(B46:B49)</f>
        <v>275</v>
      </c>
    </row>
  </sheetData>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23"/>
  <sheetViews>
    <sheetView showGridLines="0" tabSelected="1" workbookViewId="0"/>
  </sheetViews>
  <sheetFormatPr defaultRowHeight="14.4"/>
  <cols>
    <col min="1" max="22" width="9.44140625" customWidth="1"/>
  </cols>
  <sheetData>
    <row r="1" spans="1:22">
      <c r="A1" s="4"/>
      <c r="B1" s="4"/>
      <c r="C1" s="4"/>
      <c r="D1" s="4"/>
      <c r="E1" s="4"/>
      <c r="F1" s="4"/>
      <c r="G1" s="4"/>
      <c r="H1" s="4"/>
      <c r="I1" s="4"/>
      <c r="J1" s="4"/>
      <c r="K1" s="4"/>
      <c r="L1" s="4"/>
      <c r="M1" s="4"/>
      <c r="N1" s="4"/>
      <c r="O1" s="4"/>
      <c r="P1" s="4"/>
      <c r="Q1" s="4"/>
      <c r="R1" s="4"/>
      <c r="S1" s="4"/>
      <c r="T1" s="4"/>
      <c r="U1" s="4"/>
      <c r="V1" s="4"/>
    </row>
    <row r="2" spans="1:22">
      <c r="A2" s="4"/>
      <c r="B2" s="6" t="s">
        <v>0</v>
      </c>
      <c r="C2" s="7"/>
      <c r="D2" s="7"/>
      <c r="E2" s="7"/>
      <c r="F2" s="7"/>
      <c r="G2" s="7"/>
      <c r="H2" s="7"/>
      <c r="I2" s="7"/>
      <c r="J2" s="7"/>
      <c r="K2" s="7"/>
      <c r="L2" s="7"/>
      <c r="M2" s="7"/>
      <c r="N2" s="7"/>
      <c r="O2" s="7"/>
      <c r="P2" s="7"/>
      <c r="Q2" s="7"/>
      <c r="R2" s="7"/>
      <c r="S2" s="7"/>
      <c r="T2" s="7"/>
      <c r="U2" s="7"/>
      <c r="V2" s="4"/>
    </row>
    <row r="3" spans="1:22">
      <c r="A3" s="4"/>
      <c r="B3" s="7"/>
      <c r="C3" s="7"/>
      <c r="D3" s="7"/>
      <c r="E3" s="7"/>
      <c r="F3" s="7"/>
      <c r="G3" s="7"/>
      <c r="H3" s="7"/>
      <c r="I3" s="7"/>
      <c r="J3" s="7"/>
      <c r="K3" s="7"/>
      <c r="L3" s="7"/>
      <c r="M3" s="7"/>
      <c r="N3" s="7"/>
      <c r="O3" s="7"/>
      <c r="P3" s="7"/>
      <c r="Q3" s="7"/>
      <c r="R3" s="7"/>
      <c r="S3" s="7"/>
      <c r="T3" s="7"/>
      <c r="U3" s="7"/>
      <c r="V3" s="4"/>
    </row>
    <row r="4" spans="1:22">
      <c r="A4" s="4"/>
      <c r="B4" s="7"/>
      <c r="C4" s="7"/>
      <c r="D4" s="7"/>
      <c r="E4" s="7"/>
      <c r="F4" s="7"/>
      <c r="G4" s="7"/>
      <c r="H4" s="7"/>
      <c r="I4" s="7"/>
      <c r="J4" s="7"/>
      <c r="K4" s="7"/>
      <c r="L4" s="7"/>
      <c r="M4" s="7"/>
      <c r="N4" s="7"/>
      <c r="O4" s="7"/>
      <c r="P4" s="7"/>
      <c r="Q4" s="7"/>
      <c r="R4" s="7"/>
      <c r="S4" s="7"/>
      <c r="T4" s="7"/>
      <c r="U4" s="7"/>
      <c r="V4" s="4"/>
    </row>
    <row r="5" spans="1:22">
      <c r="A5" s="4"/>
      <c r="B5" s="4"/>
      <c r="C5" s="4"/>
      <c r="D5" s="4"/>
      <c r="E5" s="4"/>
      <c r="F5" s="4"/>
      <c r="G5" s="4"/>
      <c r="H5" s="4"/>
      <c r="I5" s="4"/>
      <c r="J5" s="4"/>
      <c r="K5" s="4"/>
      <c r="L5" s="4"/>
      <c r="M5" s="4"/>
      <c r="N5" s="4"/>
      <c r="O5" s="4"/>
      <c r="P5" s="4"/>
      <c r="Q5" s="4"/>
      <c r="R5" s="4"/>
      <c r="S5" s="4"/>
      <c r="T5" s="4"/>
      <c r="U5" s="4"/>
      <c r="V5" s="4"/>
    </row>
    <row r="6" spans="1:22">
      <c r="A6" s="4"/>
      <c r="B6" s="4"/>
      <c r="C6" s="4"/>
      <c r="D6" s="4"/>
      <c r="E6" s="4"/>
      <c r="F6" s="4"/>
      <c r="G6" s="4"/>
      <c r="H6" s="4"/>
      <c r="I6" s="4"/>
      <c r="J6" s="4"/>
      <c r="K6" s="4"/>
      <c r="L6" s="4"/>
      <c r="M6" s="4"/>
      <c r="N6" s="4"/>
      <c r="O6" s="4"/>
      <c r="P6" s="4"/>
      <c r="Q6" s="4"/>
      <c r="R6" s="4"/>
      <c r="S6" s="4"/>
      <c r="T6" s="4"/>
      <c r="U6" s="4"/>
      <c r="V6" s="4"/>
    </row>
    <row r="7" spans="1:22">
      <c r="A7" s="4"/>
      <c r="B7" s="4"/>
      <c r="C7" s="4"/>
      <c r="D7" s="4"/>
      <c r="E7" s="4"/>
      <c r="F7" s="4"/>
      <c r="G7" s="4"/>
      <c r="H7" s="4"/>
      <c r="I7" s="4"/>
      <c r="J7" s="4"/>
      <c r="K7" s="4"/>
      <c r="L7" s="4"/>
      <c r="M7" s="4"/>
      <c r="N7" s="4"/>
      <c r="O7" s="4"/>
      <c r="P7" s="4"/>
      <c r="Q7" s="4"/>
      <c r="R7" s="4"/>
      <c r="S7" s="4"/>
      <c r="T7" s="4"/>
      <c r="U7" s="4"/>
      <c r="V7" s="4"/>
    </row>
    <row r="8" spans="1:22">
      <c r="A8" s="4"/>
      <c r="B8" s="4"/>
      <c r="C8" s="4"/>
      <c r="D8" s="4"/>
      <c r="E8" s="4"/>
      <c r="F8" s="4"/>
      <c r="G8" s="4"/>
      <c r="H8" s="4"/>
      <c r="I8" s="4"/>
      <c r="J8" s="4"/>
      <c r="K8" s="4"/>
      <c r="L8" s="4"/>
      <c r="M8" s="4"/>
      <c r="N8" s="4"/>
      <c r="O8" s="4"/>
      <c r="P8" s="4"/>
      <c r="Q8" s="4"/>
      <c r="R8" s="4"/>
      <c r="S8" s="4"/>
      <c r="T8" s="4"/>
      <c r="U8" s="4"/>
      <c r="V8" s="4"/>
    </row>
    <row r="9" spans="1:22">
      <c r="A9" s="4"/>
      <c r="B9" s="4"/>
      <c r="C9" s="4"/>
      <c r="D9" s="4"/>
      <c r="E9" s="4"/>
      <c r="F9" s="4"/>
      <c r="G9" s="4"/>
      <c r="H9" s="4"/>
      <c r="I9" s="4"/>
      <c r="J9" s="4"/>
      <c r="K9" s="4"/>
      <c r="L9" s="4"/>
      <c r="M9" s="4"/>
      <c r="N9" s="4"/>
      <c r="O9" s="4"/>
      <c r="P9" s="4"/>
      <c r="Q9" s="4"/>
      <c r="R9" s="4"/>
      <c r="S9" s="4"/>
      <c r="T9" s="4"/>
      <c r="U9" s="4"/>
      <c r="V9" s="4"/>
    </row>
    <row r="10" spans="1:22">
      <c r="A10" s="4"/>
      <c r="B10" s="4"/>
      <c r="C10" s="4"/>
      <c r="D10" s="4"/>
      <c r="E10" s="4"/>
      <c r="F10" s="4"/>
      <c r="G10" s="4"/>
      <c r="H10" s="4"/>
      <c r="I10" s="4"/>
      <c r="J10" s="4"/>
      <c r="K10" s="4"/>
      <c r="L10" s="4"/>
      <c r="M10" s="4"/>
      <c r="N10" s="4"/>
      <c r="O10" s="4"/>
      <c r="P10" s="4"/>
      <c r="Q10" s="4"/>
      <c r="R10" s="4"/>
      <c r="S10" s="4"/>
      <c r="T10" s="4"/>
      <c r="U10" s="4"/>
      <c r="V10" s="4"/>
    </row>
    <row r="11" spans="1:22">
      <c r="A11" s="4"/>
      <c r="B11" s="4"/>
      <c r="C11" s="4"/>
      <c r="D11" s="4"/>
      <c r="E11" s="4"/>
      <c r="F11" s="4"/>
      <c r="G11" s="4"/>
      <c r="H11" s="4"/>
      <c r="I11" s="4"/>
      <c r="J11" s="4"/>
      <c r="K11" s="4"/>
      <c r="L11" s="4"/>
      <c r="M11" s="4"/>
      <c r="N11" s="4"/>
      <c r="O11" s="4"/>
      <c r="P11" s="4"/>
      <c r="Q11" s="4"/>
      <c r="R11" s="4"/>
      <c r="S11" s="4"/>
      <c r="T11" s="4"/>
      <c r="U11" s="4"/>
      <c r="V11" s="4"/>
    </row>
    <row r="12" spans="1:22">
      <c r="A12" s="4"/>
      <c r="B12" s="4"/>
      <c r="C12" s="4"/>
      <c r="D12" s="4"/>
      <c r="E12" s="4"/>
      <c r="F12" s="4"/>
      <c r="G12" s="4"/>
      <c r="H12" s="4"/>
      <c r="I12" s="4"/>
      <c r="J12" s="4"/>
      <c r="K12" s="4"/>
      <c r="L12" s="4"/>
      <c r="M12" s="4"/>
      <c r="N12" s="4"/>
      <c r="O12" s="4"/>
      <c r="P12" s="4"/>
      <c r="Q12" s="4"/>
      <c r="R12" s="4"/>
      <c r="S12" s="4"/>
      <c r="T12" s="4"/>
      <c r="U12" s="4"/>
      <c r="V12" s="4"/>
    </row>
    <row r="13" spans="1:22">
      <c r="A13" s="4"/>
      <c r="B13" s="4"/>
      <c r="C13" s="4"/>
      <c r="D13" s="4"/>
      <c r="E13" s="4"/>
      <c r="F13" s="4"/>
      <c r="G13" s="4"/>
      <c r="H13" s="4"/>
      <c r="I13" s="4"/>
      <c r="J13" s="4"/>
      <c r="K13" s="4"/>
      <c r="L13" s="4"/>
      <c r="M13" s="4"/>
      <c r="N13" s="4"/>
      <c r="O13" s="4"/>
      <c r="P13" s="4"/>
      <c r="Q13" s="4"/>
      <c r="R13" s="4"/>
      <c r="S13" s="4"/>
      <c r="T13" s="4"/>
      <c r="U13" s="4"/>
      <c r="V13" s="4"/>
    </row>
    <row r="14" spans="1:22">
      <c r="A14" s="4"/>
      <c r="B14" s="4"/>
      <c r="C14" s="4"/>
      <c r="D14" s="4"/>
      <c r="E14" s="4"/>
      <c r="F14" s="4"/>
      <c r="G14" s="4"/>
      <c r="H14" s="4"/>
      <c r="I14" s="4"/>
      <c r="J14" s="4"/>
      <c r="K14" s="4"/>
      <c r="L14" s="4"/>
      <c r="M14" s="4"/>
      <c r="N14" s="4"/>
      <c r="O14" s="4"/>
      <c r="P14" s="4"/>
      <c r="Q14" s="4"/>
      <c r="R14" s="4"/>
      <c r="S14" s="4"/>
      <c r="T14" s="4"/>
      <c r="U14" s="4"/>
      <c r="V14" s="4"/>
    </row>
    <row r="15" spans="1:22">
      <c r="A15" s="4"/>
      <c r="B15" s="4"/>
      <c r="C15" s="4"/>
      <c r="D15" s="4"/>
      <c r="E15" s="4"/>
      <c r="F15" s="4"/>
      <c r="G15" s="4"/>
      <c r="H15" s="4"/>
      <c r="I15" s="4"/>
      <c r="J15" s="4"/>
      <c r="K15" s="4"/>
      <c r="L15" s="4"/>
      <c r="M15" s="4"/>
      <c r="N15" s="4"/>
      <c r="O15" s="4"/>
      <c r="P15" s="4"/>
      <c r="Q15" s="4"/>
      <c r="R15" s="4"/>
      <c r="S15" s="4"/>
      <c r="T15" s="4"/>
      <c r="U15" s="4"/>
      <c r="V15" s="4"/>
    </row>
    <row r="16" spans="1:22">
      <c r="A16" s="4"/>
      <c r="B16" s="4"/>
      <c r="C16" s="4"/>
      <c r="D16" s="4"/>
      <c r="E16" s="4"/>
      <c r="F16" s="4"/>
      <c r="G16" s="4"/>
      <c r="H16" s="4"/>
      <c r="I16" s="4"/>
      <c r="J16" s="4"/>
      <c r="K16" s="4"/>
      <c r="L16" s="4"/>
      <c r="M16" s="4"/>
      <c r="N16" s="4"/>
      <c r="O16" s="4"/>
      <c r="P16" s="4"/>
      <c r="Q16" s="4"/>
      <c r="R16" s="4"/>
      <c r="S16" s="4"/>
      <c r="T16" s="4"/>
      <c r="U16" s="4"/>
      <c r="V16" s="4"/>
    </row>
    <row r="17" spans="1:22">
      <c r="A17" s="4"/>
      <c r="B17" s="4"/>
      <c r="C17" s="4"/>
      <c r="D17" s="4"/>
      <c r="E17" s="4"/>
      <c r="F17" s="4"/>
      <c r="G17" s="4"/>
      <c r="H17" s="4"/>
      <c r="I17" s="4"/>
      <c r="J17" s="4"/>
      <c r="K17" s="4"/>
      <c r="L17" s="4"/>
      <c r="M17" s="4"/>
      <c r="N17" s="4"/>
      <c r="O17" s="4"/>
      <c r="P17" s="4"/>
      <c r="Q17" s="4"/>
      <c r="R17" s="4"/>
      <c r="S17" s="4"/>
      <c r="T17" s="4"/>
      <c r="U17" s="4"/>
      <c r="V17" s="4"/>
    </row>
    <row r="18" spans="1:22">
      <c r="A18" s="4"/>
      <c r="B18" s="4"/>
      <c r="C18" s="4"/>
      <c r="D18" s="4"/>
      <c r="E18" s="4"/>
      <c r="F18" s="4"/>
      <c r="G18" s="4"/>
      <c r="H18" s="4"/>
      <c r="I18" s="4"/>
      <c r="J18" s="4"/>
      <c r="K18" s="4"/>
      <c r="L18" s="4"/>
      <c r="M18" s="4"/>
      <c r="N18" s="4"/>
      <c r="O18" s="4"/>
      <c r="P18" s="4"/>
      <c r="Q18" s="4"/>
      <c r="R18" s="4"/>
      <c r="S18" s="4"/>
      <c r="T18" s="4"/>
      <c r="U18" s="4"/>
      <c r="V18" s="4"/>
    </row>
    <row r="19" spans="1:22">
      <c r="A19" s="4"/>
      <c r="B19" s="4"/>
      <c r="C19" s="4"/>
      <c r="D19" s="4"/>
      <c r="E19" s="4"/>
      <c r="F19" s="4"/>
      <c r="G19" s="4"/>
      <c r="H19" s="4"/>
      <c r="I19" s="4"/>
      <c r="J19" s="4"/>
      <c r="K19" s="4"/>
      <c r="L19" s="4"/>
      <c r="M19" s="4"/>
      <c r="N19" s="4"/>
      <c r="O19" s="4"/>
      <c r="P19" s="4"/>
      <c r="Q19" s="4"/>
      <c r="R19" s="4"/>
      <c r="S19" s="4"/>
      <c r="T19" s="4"/>
      <c r="U19" s="4"/>
      <c r="V19" s="4"/>
    </row>
    <row r="20" spans="1:22">
      <c r="A20" s="4"/>
      <c r="B20" s="4"/>
      <c r="C20" s="4"/>
      <c r="D20" s="4"/>
      <c r="E20" s="4"/>
      <c r="F20" s="4"/>
      <c r="G20" s="4"/>
      <c r="H20" s="4"/>
      <c r="I20" s="4"/>
      <c r="J20" s="4"/>
      <c r="K20" s="4"/>
      <c r="L20" s="4"/>
      <c r="M20" s="4"/>
      <c r="N20" s="4"/>
      <c r="O20" s="4"/>
      <c r="P20" s="4"/>
      <c r="Q20" s="4"/>
      <c r="R20" s="4"/>
      <c r="S20" s="4"/>
      <c r="T20" s="4"/>
      <c r="U20" s="4"/>
      <c r="V20" s="4"/>
    </row>
    <row r="21" spans="1:22">
      <c r="A21" s="4"/>
      <c r="B21" s="4"/>
      <c r="C21" s="4"/>
      <c r="D21" s="4"/>
      <c r="E21" s="4"/>
      <c r="F21" s="4"/>
      <c r="G21" s="4"/>
      <c r="H21" s="4"/>
      <c r="I21" s="4"/>
      <c r="J21" s="4"/>
      <c r="K21" s="4"/>
      <c r="L21" s="4"/>
      <c r="M21" s="4"/>
      <c r="N21" s="4"/>
      <c r="O21" s="4"/>
      <c r="P21" s="4"/>
      <c r="Q21" s="4"/>
      <c r="R21" s="4"/>
      <c r="S21" s="4"/>
      <c r="T21" s="4"/>
      <c r="U21" s="4"/>
      <c r="V21" s="4"/>
    </row>
    <row r="22" spans="1:22">
      <c r="A22" s="4"/>
      <c r="B22" s="4"/>
      <c r="C22" s="4"/>
      <c r="D22" s="4"/>
      <c r="E22" s="4"/>
      <c r="F22" s="4"/>
      <c r="G22" s="4"/>
      <c r="H22" s="4"/>
      <c r="I22" s="4"/>
      <c r="J22" s="4"/>
      <c r="K22" s="4"/>
      <c r="L22" s="4"/>
      <c r="M22" s="4"/>
      <c r="N22" s="4"/>
      <c r="O22" s="4"/>
      <c r="P22" s="4"/>
      <c r="Q22" s="4"/>
      <c r="R22" s="4"/>
      <c r="S22" s="4"/>
      <c r="T22" s="4"/>
      <c r="U22" s="4"/>
      <c r="V22" s="4"/>
    </row>
    <row r="23" spans="1:22">
      <c r="A23" s="4"/>
      <c r="B23" s="4"/>
      <c r="C23" s="4"/>
      <c r="D23" s="4"/>
      <c r="E23" s="4"/>
      <c r="F23" s="4"/>
      <c r="G23" s="4"/>
      <c r="H23" s="4"/>
      <c r="I23" s="4"/>
      <c r="J23" s="4"/>
      <c r="K23" s="4"/>
      <c r="L23" s="4"/>
      <c r="M23" s="4"/>
      <c r="N23" s="4"/>
      <c r="O23" s="4"/>
      <c r="P23" s="4"/>
      <c r="Q23" s="4"/>
      <c r="R23" s="4"/>
      <c r="S23" s="4"/>
      <c r="T23" s="4"/>
      <c r="U23" s="4"/>
      <c r="V23" s="4"/>
    </row>
  </sheetData>
  <mergeCells count="1">
    <mergeCell ref="B2:U4"/>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9"/>
  <sheetViews>
    <sheetView topLeftCell="Q1" workbookViewId="0">
      <pane ySplit="1" topLeftCell="A7" activePane="bottomLeft" state="frozen"/>
      <selection pane="bottomLeft"/>
    </sheetView>
  </sheetViews>
  <sheetFormatPr defaultRowHeight="14.4"/>
  <cols>
    <col min="1" max="4" width="12" customWidth="1"/>
    <col min="5" max="5" width="13" customWidth="1"/>
    <col min="6" max="6" width="19" customWidth="1"/>
    <col min="7" max="7" width="34" customWidth="1"/>
    <col min="8" max="8" width="18" customWidth="1"/>
    <col min="9" max="9" width="12" customWidth="1"/>
    <col min="10" max="10" width="14" customWidth="1"/>
    <col min="11" max="11" width="26" customWidth="1"/>
    <col min="12" max="12" width="40" customWidth="1"/>
    <col min="13" max="13" width="19" customWidth="1"/>
    <col min="14" max="14" width="22" customWidth="1"/>
    <col min="15" max="15" width="19" customWidth="1"/>
    <col min="16" max="16" width="22" customWidth="1"/>
    <col min="17" max="17" width="29" customWidth="1"/>
    <col min="18" max="18" width="31" customWidth="1"/>
    <col min="19" max="19" width="19" customWidth="1"/>
  </cols>
  <sheetData>
    <row r="1" spans="1:19">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c r="P1" s="5" t="s">
        <v>26</v>
      </c>
      <c r="Q1" s="5" t="s">
        <v>27</v>
      </c>
      <c r="R1" s="5" t="s">
        <v>28</v>
      </c>
      <c r="S1" s="5" t="s">
        <v>29</v>
      </c>
    </row>
    <row r="2" spans="1:19">
      <c r="A2" t="s">
        <v>30</v>
      </c>
      <c r="B2">
        <v>29</v>
      </c>
      <c r="C2" t="s">
        <v>31</v>
      </c>
      <c r="D2" t="s">
        <v>32</v>
      </c>
      <c r="E2" t="s">
        <v>33</v>
      </c>
      <c r="F2" t="s">
        <v>34</v>
      </c>
      <c r="G2" t="s">
        <v>35</v>
      </c>
      <c r="H2">
        <v>898</v>
      </c>
      <c r="I2" t="s">
        <v>36</v>
      </c>
      <c r="J2" t="s">
        <v>37</v>
      </c>
      <c r="K2">
        <v>2.2999999999999998</v>
      </c>
      <c r="L2" t="s">
        <v>38</v>
      </c>
      <c r="M2">
        <v>0</v>
      </c>
      <c r="N2">
        <v>4.5</v>
      </c>
      <c r="O2">
        <v>4</v>
      </c>
      <c r="P2">
        <v>5</v>
      </c>
      <c r="Q2">
        <v>4.9000000000000004</v>
      </c>
      <c r="R2">
        <v>6.4</v>
      </c>
      <c r="S2" t="s">
        <v>6</v>
      </c>
    </row>
    <row r="3" spans="1:19">
      <c r="A3" t="s">
        <v>39</v>
      </c>
      <c r="B3">
        <v>31</v>
      </c>
      <c r="C3" t="s">
        <v>40</v>
      </c>
      <c r="D3" t="s">
        <v>41</v>
      </c>
      <c r="E3" t="s">
        <v>33</v>
      </c>
      <c r="F3" t="s">
        <v>34</v>
      </c>
      <c r="G3" t="s">
        <v>42</v>
      </c>
      <c r="H3">
        <v>448</v>
      </c>
      <c r="I3" t="s">
        <v>36</v>
      </c>
      <c r="J3" t="s">
        <v>43</v>
      </c>
      <c r="K3">
        <v>0.7</v>
      </c>
      <c r="L3" t="s">
        <v>44</v>
      </c>
      <c r="M3">
        <v>0</v>
      </c>
      <c r="N3">
        <v>4.3</v>
      </c>
      <c r="O3">
        <v>3</v>
      </c>
      <c r="P3">
        <v>4</v>
      </c>
      <c r="Q3">
        <v>1.7</v>
      </c>
      <c r="R3">
        <v>9.5</v>
      </c>
      <c r="S3" t="s">
        <v>4</v>
      </c>
    </row>
    <row r="4" spans="1:19">
      <c r="A4" t="s">
        <v>45</v>
      </c>
      <c r="B4">
        <v>17</v>
      </c>
      <c r="C4" t="s">
        <v>40</v>
      </c>
      <c r="D4" t="s">
        <v>46</v>
      </c>
      <c r="E4" t="s">
        <v>47</v>
      </c>
      <c r="F4" t="s">
        <v>48</v>
      </c>
      <c r="G4" t="s">
        <v>49</v>
      </c>
      <c r="H4">
        <v>440</v>
      </c>
      <c r="I4" t="s">
        <v>36</v>
      </c>
      <c r="J4" t="s">
        <v>37</v>
      </c>
      <c r="K4">
        <v>0.5</v>
      </c>
      <c r="L4" t="s">
        <v>50</v>
      </c>
      <c r="M4">
        <v>10</v>
      </c>
      <c r="N4">
        <v>4.3</v>
      </c>
      <c r="O4">
        <v>4</v>
      </c>
      <c r="P4">
        <v>6</v>
      </c>
      <c r="Q4">
        <v>0.5</v>
      </c>
      <c r="R4">
        <v>7.5</v>
      </c>
      <c r="S4" t="s">
        <v>4</v>
      </c>
    </row>
    <row r="5" spans="1:19">
      <c r="A5" t="s">
        <v>51</v>
      </c>
      <c r="B5">
        <v>18</v>
      </c>
      <c r="C5" t="s">
        <v>40</v>
      </c>
      <c r="D5" t="s">
        <v>52</v>
      </c>
      <c r="E5" t="s">
        <v>47</v>
      </c>
      <c r="F5" t="s">
        <v>53</v>
      </c>
      <c r="G5" t="s">
        <v>54</v>
      </c>
      <c r="H5">
        <v>66</v>
      </c>
      <c r="I5" t="s">
        <v>36</v>
      </c>
      <c r="K5">
        <v>1.1000000000000001</v>
      </c>
      <c r="L5" t="s">
        <v>55</v>
      </c>
      <c r="M5">
        <v>20</v>
      </c>
      <c r="N5">
        <v>4.0999999999999996</v>
      </c>
      <c r="P5">
        <v>7</v>
      </c>
      <c r="Q5">
        <v>5.6</v>
      </c>
      <c r="R5">
        <v>6.3</v>
      </c>
      <c r="S5" t="s">
        <v>6</v>
      </c>
    </row>
    <row r="6" spans="1:19">
      <c r="A6" t="s">
        <v>56</v>
      </c>
      <c r="B6">
        <v>64</v>
      </c>
      <c r="C6" t="s">
        <v>40</v>
      </c>
      <c r="D6" t="s">
        <v>52</v>
      </c>
      <c r="E6" t="s">
        <v>33</v>
      </c>
      <c r="F6" t="s">
        <v>48</v>
      </c>
      <c r="G6" t="s">
        <v>57</v>
      </c>
      <c r="H6">
        <v>2050</v>
      </c>
      <c r="I6" t="s">
        <v>58</v>
      </c>
      <c r="J6" t="s">
        <v>59</v>
      </c>
      <c r="K6">
        <v>5.3</v>
      </c>
      <c r="L6" t="s">
        <v>60</v>
      </c>
      <c r="M6">
        <v>50</v>
      </c>
      <c r="N6">
        <v>7.8</v>
      </c>
      <c r="O6">
        <v>3</v>
      </c>
      <c r="P6">
        <v>6</v>
      </c>
      <c r="Q6">
        <v>10.7</v>
      </c>
      <c r="R6">
        <v>9.5</v>
      </c>
      <c r="S6" t="s">
        <v>3</v>
      </c>
    </row>
    <row r="7" spans="1:19">
      <c r="A7" t="s">
        <v>61</v>
      </c>
      <c r="B7">
        <v>31</v>
      </c>
      <c r="C7" t="s">
        <v>62</v>
      </c>
      <c r="D7" t="s">
        <v>63</v>
      </c>
      <c r="E7" t="s">
        <v>33</v>
      </c>
      <c r="F7" t="s">
        <v>64</v>
      </c>
      <c r="G7" t="s">
        <v>65</v>
      </c>
      <c r="H7">
        <v>1194</v>
      </c>
      <c r="I7" t="s">
        <v>66</v>
      </c>
      <c r="K7">
        <v>2.1</v>
      </c>
      <c r="L7" t="s">
        <v>67</v>
      </c>
      <c r="M7">
        <v>0</v>
      </c>
      <c r="N7">
        <v>5.4</v>
      </c>
      <c r="O7">
        <v>2</v>
      </c>
      <c r="P7">
        <v>6</v>
      </c>
      <c r="Q7">
        <v>2</v>
      </c>
      <c r="R7">
        <v>9.8000000000000007</v>
      </c>
      <c r="S7" t="s">
        <v>6</v>
      </c>
    </row>
    <row r="8" spans="1:19">
      <c r="A8" t="s">
        <v>68</v>
      </c>
      <c r="B8">
        <v>24</v>
      </c>
      <c r="C8" t="s">
        <v>62</v>
      </c>
      <c r="D8" t="s">
        <v>69</v>
      </c>
      <c r="E8" t="s">
        <v>47</v>
      </c>
      <c r="F8" t="s">
        <v>48</v>
      </c>
      <c r="G8" t="s">
        <v>70</v>
      </c>
      <c r="H8">
        <v>134</v>
      </c>
      <c r="I8" t="s">
        <v>66</v>
      </c>
      <c r="J8" t="s">
        <v>71</v>
      </c>
      <c r="K8">
        <v>3.6</v>
      </c>
      <c r="L8" t="s">
        <v>72</v>
      </c>
      <c r="M8">
        <v>20</v>
      </c>
      <c r="O8">
        <v>2</v>
      </c>
      <c r="P8">
        <v>6</v>
      </c>
      <c r="Q8">
        <v>5.2</v>
      </c>
      <c r="R8">
        <v>6.5</v>
      </c>
      <c r="S8" t="s">
        <v>3</v>
      </c>
    </row>
    <row r="9" spans="1:19">
      <c r="A9" t="s">
        <v>73</v>
      </c>
      <c r="B9">
        <v>23</v>
      </c>
      <c r="C9" t="s">
        <v>62</v>
      </c>
      <c r="D9" t="s">
        <v>46</v>
      </c>
      <c r="E9" t="s">
        <v>47</v>
      </c>
      <c r="F9" t="s">
        <v>53</v>
      </c>
      <c r="G9" t="s">
        <v>74</v>
      </c>
      <c r="H9">
        <v>531</v>
      </c>
      <c r="I9" t="s">
        <v>36</v>
      </c>
      <c r="J9" t="s">
        <v>75</v>
      </c>
      <c r="K9">
        <v>5.2</v>
      </c>
      <c r="L9" t="s">
        <v>76</v>
      </c>
      <c r="M9">
        <v>0</v>
      </c>
      <c r="N9">
        <v>6.7</v>
      </c>
      <c r="P9">
        <v>7</v>
      </c>
      <c r="Q9">
        <v>12.1</v>
      </c>
      <c r="R9">
        <v>7</v>
      </c>
      <c r="S9" t="s">
        <v>6</v>
      </c>
    </row>
    <row r="10" spans="1:19">
      <c r="A10" t="s">
        <v>77</v>
      </c>
      <c r="B10">
        <v>22</v>
      </c>
      <c r="C10" t="s">
        <v>40</v>
      </c>
      <c r="D10" t="s">
        <v>32</v>
      </c>
      <c r="E10" t="s">
        <v>47</v>
      </c>
      <c r="F10" t="s">
        <v>64</v>
      </c>
      <c r="G10" t="s">
        <v>78</v>
      </c>
      <c r="H10">
        <v>0</v>
      </c>
      <c r="I10" t="s">
        <v>79</v>
      </c>
      <c r="J10" t="s">
        <v>43</v>
      </c>
      <c r="K10">
        <v>3.3</v>
      </c>
      <c r="L10" t="s">
        <v>80</v>
      </c>
      <c r="M10">
        <v>0</v>
      </c>
      <c r="N10">
        <v>6</v>
      </c>
      <c r="O10">
        <v>2</v>
      </c>
      <c r="P10">
        <v>6</v>
      </c>
      <c r="Q10">
        <v>6.4</v>
      </c>
      <c r="R10">
        <v>5.5</v>
      </c>
      <c r="S10" t="s">
        <v>6</v>
      </c>
    </row>
    <row r="11" spans="1:19">
      <c r="A11" t="s">
        <v>81</v>
      </c>
      <c r="B11">
        <v>49</v>
      </c>
      <c r="C11" t="s">
        <v>40</v>
      </c>
      <c r="D11" t="s">
        <v>82</v>
      </c>
      <c r="E11" t="s">
        <v>33</v>
      </c>
      <c r="F11" t="s">
        <v>64</v>
      </c>
      <c r="G11" t="s">
        <v>83</v>
      </c>
      <c r="H11">
        <v>243</v>
      </c>
      <c r="I11" t="s">
        <v>36</v>
      </c>
      <c r="J11" t="s">
        <v>75</v>
      </c>
      <c r="K11">
        <v>3.2</v>
      </c>
      <c r="L11" t="s">
        <v>84</v>
      </c>
      <c r="M11">
        <v>0</v>
      </c>
      <c r="O11">
        <v>3</v>
      </c>
      <c r="P11">
        <v>6</v>
      </c>
      <c r="Q11">
        <v>10</v>
      </c>
      <c r="R11">
        <v>7.2</v>
      </c>
      <c r="S11" t="s">
        <v>3</v>
      </c>
    </row>
    <row r="12" spans="1:19">
      <c r="A12" t="s">
        <v>85</v>
      </c>
      <c r="B12">
        <v>23</v>
      </c>
      <c r="C12" t="s">
        <v>40</v>
      </c>
      <c r="E12" t="s">
        <v>33</v>
      </c>
      <c r="F12" t="s">
        <v>64</v>
      </c>
      <c r="G12" t="s">
        <v>86</v>
      </c>
      <c r="H12">
        <v>5268</v>
      </c>
      <c r="I12" t="s">
        <v>87</v>
      </c>
      <c r="J12" t="s">
        <v>88</v>
      </c>
      <c r="K12">
        <v>1.2</v>
      </c>
      <c r="L12" t="s">
        <v>89</v>
      </c>
      <c r="M12">
        <v>0</v>
      </c>
      <c r="N12">
        <v>2.4</v>
      </c>
      <c r="O12">
        <v>4</v>
      </c>
      <c r="Q12">
        <v>0.4</v>
      </c>
      <c r="R12">
        <v>8.8000000000000007</v>
      </c>
      <c r="S12" t="s">
        <v>4</v>
      </c>
    </row>
    <row r="13" spans="1:19">
      <c r="A13" t="s">
        <v>90</v>
      </c>
      <c r="B13">
        <v>23</v>
      </c>
      <c r="C13" t="s">
        <v>62</v>
      </c>
      <c r="D13" t="s">
        <v>91</v>
      </c>
      <c r="E13" t="s">
        <v>33</v>
      </c>
      <c r="F13" t="s">
        <v>64</v>
      </c>
      <c r="G13" t="s">
        <v>92</v>
      </c>
      <c r="H13">
        <v>3693</v>
      </c>
      <c r="I13" t="s">
        <v>93</v>
      </c>
      <c r="J13" t="s">
        <v>43</v>
      </c>
      <c r="K13">
        <v>5.5</v>
      </c>
      <c r="L13" t="s">
        <v>94</v>
      </c>
      <c r="M13">
        <v>20</v>
      </c>
      <c r="N13">
        <v>7.6</v>
      </c>
      <c r="O13">
        <v>3</v>
      </c>
      <c r="P13">
        <v>7</v>
      </c>
      <c r="Q13">
        <v>9.3000000000000007</v>
      </c>
      <c r="R13">
        <v>6.1</v>
      </c>
      <c r="S13" t="s">
        <v>6</v>
      </c>
    </row>
    <row r="14" spans="1:19">
      <c r="A14" t="s">
        <v>95</v>
      </c>
      <c r="C14" t="s">
        <v>62</v>
      </c>
      <c r="D14" t="s">
        <v>96</v>
      </c>
      <c r="E14" t="s">
        <v>33</v>
      </c>
      <c r="F14" t="s">
        <v>97</v>
      </c>
      <c r="G14" t="s">
        <v>98</v>
      </c>
      <c r="H14">
        <v>3779</v>
      </c>
      <c r="I14" t="s">
        <v>36</v>
      </c>
      <c r="J14" t="s">
        <v>43</v>
      </c>
      <c r="K14">
        <v>5.7</v>
      </c>
      <c r="L14" t="s">
        <v>99</v>
      </c>
      <c r="M14">
        <v>0</v>
      </c>
      <c r="N14">
        <v>6.7</v>
      </c>
      <c r="O14">
        <v>2</v>
      </c>
      <c r="P14">
        <v>5</v>
      </c>
      <c r="Q14">
        <v>13</v>
      </c>
      <c r="R14">
        <v>6.6</v>
      </c>
      <c r="S14" t="s">
        <v>3</v>
      </c>
    </row>
    <row r="15" spans="1:19">
      <c r="A15" t="s">
        <v>100</v>
      </c>
      <c r="B15">
        <v>23</v>
      </c>
      <c r="C15" t="s">
        <v>62</v>
      </c>
      <c r="D15" t="s">
        <v>52</v>
      </c>
      <c r="E15" t="s">
        <v>47</v>
      </c>
      <c r="F15" t="s">
        <v>97</v>
      </c>
      <c r="G15" t="s">
        <v>101</v>
      </c>
      <c r="H15">
        <v>169</v>
      </c>
      <c r="J15" t="s">
        <v>102</v>
      </c>
      <c r="K15">
        <v>5.4</v>
      </c>
      <c r="L15" t="s">
        <v>103</v>
      </c>
      <c r="M15">
        <v>0</v>
      </c>
      <c r="N15">
        <v>8.1</v>
      </c>
      <c r="O15">
        <v>4</v>
      </c>
      <c r="P15">
        <v>9</v>
      </c>
      <c r="Q15">
        <v>6.8</v>
      </c>
      <c r="R15">
        <v>6.9</v>
      </c>
      <c r="S15" t="s">
        <v>6</v>
      </c>
    </row>
    <row r="16" spans="1:19">
      <c r="A16" t="s">
        <v>104</v>
      </c>
      <c r="B16">
        <v>18</v>
      </c>
      <c r="C16" t="s">
        <v>62</v>
      </c>
      <c r="D16" t="s">
        <v>96</v>
      </c>
      <c r="E16" t="s">
        <v>47</v>
      </c>
      <c r="G16" t="s">
        <v>105</v>
      </c>
      <c r="H16">
        <v>56</v>
      </c>
      <c r="I16" t="s">
        <v>79</v>
      </c>
      <c r="J16" t="s">
        <v>102</v>
      </c>
      <c r="K16">
        <v>1.7</v>
      </c>
      <c r="L16" t="s">
        <v>106</v>
      </c>
      <c r="M16">
        <v>30</v>
      </c>
      <c r="N16">
        <v>4.9000000000000004</v>
      </c>
      <c r="O16">
        <v>3</v>
      </c>
      <c r="P16">
        <v>5</v>
      </c>
      <c r="Q16">
        <v>1.9</v>
      </c>
      <c r="R16">
        <v>4.3</v>
      </c>
      <c r="S16" t="s">
        <v>6</v>
      </c>
    </row>
    <row r="17" spans="1:19">
      <c r="A17" t="s">
        <v>107</v>
      </c>
      <c r="B17">
        <v>23</v>
      </c>
      <c r="C17" t="s">
        <v>40</v>
      </c>
      <c r="D17" t="s">
        <v>96</v>
      </c>
      <c r="E17" t="s">
        <v>47</v>
      </c>
      <c r="F17" t="s">
        <v>53</v>
      </c>
      <c r="G17" t="s">
        <v>108</v>
      </c>
      <c r="I17" t="s">
        <v>36</v>
      </c>
      <c r="J17" t="s">
        <v>102</v>
      </c>
      <c r="K17">
        <v>7.4</v>
      </c>
      <c r="L17" t="s">
        <v>109</v>
      </c>
      <c r="M17">
        <v>0</v>
      </c>
      <c r="N17">
        <v>8.6999999999999993</v>
      </c>
      <c r="O17">
        <v>3</v>
      </c>
      <c r="P17">
        <v>9</v>
      </c>
      <c r="Q17">
        <v>12.3</v>
      </c>
      <c r="R17">
        <v>6.8</v>
      </c>
      <c r="S17" t="s">
        <v>6</v>
      </c>
    </row>
    <row r="18" spans="1:19">
      <c r="A18" t="s">
        <v>110</v>
      </c>
      <c r="B18">
        <v>30</v>
      </c>
      <c r="D18" t="s">
        <v>41</v>
      </c>
      <c r="E18" t="s">
        <v>47</v>
      </c>
      <c r="G18" t="s">
        <v>78</v>
      </c>
      <c r="H18">
        <v>67</v>
      </c>
      <c r="I18" t="s">
        <v>36</v>
      </c>
      <c r="J18" t="s">
        <v>43</v>
      </c>
      <c r="K18">
        <v>1.4</v>
      </c>
      <c r="L18" t="s">
        <v>111</v>
      </c>
      <c r="M18">
        <v>20</v>
      </c>
      <c r="N18">
        <v>2.9</v>
      </c>
      <c r="O18">
        <v>3</v>
      </c>
      <c r="P18">
        <v>3</v>
      </c>
      <c r="Q18">
        <v>0.8</v>
      </c>
      <c r="R18">
        <v>5.6</v>
      </c>
      <c r="S18" t="s">
        <v>4</v>
      </c>
    </row>
    <row r="19" spans="1:19">
      <c r="A19" t="s">
        <v>112</v>
      </c>
      <c r="C19" t="s">
        <v>62</v>
      </c>
      <c r="D19" t="s">
        <v>113</v>
      </c>
      <c r="E19" t="s">
        <v>33</v>
      </c>
      <c r="F19" t="s">
        <v>48</v>
      </c>
      <c r="G19" t="s">
        <v>114</v>
      </c>
      <c r="H19">
        <v>10311</v>
      </c>
      <c r="I19" t="s">
        <v>79</v>
      </c>
      <c r="J19" t="s">
        <v>75</v>
      </c>
      <c r="K19">
        <v>2.1</v>
      </c>
      <c r="L19" t="s">
        <v>115</v>
      </c>
      <c r="M19">
        <v>20</v>
      </c>
      <c r="N19">
        <v>4.2</v>
      </c>
      <c r="O19">
        <v>3</v>
      </c>
      <c r="P19">
        <v>5</v>
      </c>
      <c r="Q19">
        <v>5.4</v>
      </c>
      <c r="R19">
        <v>10.5</v>
      </c>
      <c r="S19" t="s">
        <v>3</v>
      </c>
    </row>
    <row r="20" spans="1:19">
      <c r="A20" t="s">
        <v>116</v>
      </c>
      <c r="B20">
        <v>53</v>
      </c>
      <c r="C20" t="s">
        <v>62</v>
      </c>
      <c r="D20" t="s">
        <v>91</v>
      </c>
      <c r="E20" t="s">
        <v>33</v>
      </c>
      <c r="F20" t="s">
        <v>64</v>
      </c>
      <c r="G20" t="s">
        <v>117</v>
      </c>
      <c r="H20">
        <v>3944</v>
      </c>
      <c r="I20" t="s">
        <v>87</v>
      </c>
      <c r="J20" t="s">
        <v>43</v>
      </c>
      <c r="K20">
        <v>1.4</v>
      </c>
      <c r="L20" t="s">
        <v>118</v>
      </c>
      <c r="M20">
        <v>0</v>
      </c>
      <c r="N20">
        <v>1.9</v>
      </c>
      <c r="O20">
        <v>3</v>
      </c>
      <c r="P20">
        <v>3</v>
      </c>
      <c r="Q20">
        <v>2.5</v>
      </c>
      <c r="R20">
        <v>9.5</v>
      </c>
      <c r="S20" t="s">
        <v>4</v>
      </c>
    </row>
    <row r="21" spans="1:19">
      <c r="A21" t="s">
        <v>119</v>
      </c>
      <c r="B21">
        <v>26</v>
      </c>
      <c r="C21" t="s">
        <v>40</v>
      </c>
      <c r="D21" t="s">
        <v>46</v>
      </c>
      <c r="E21" t="s">
        <v>47</v>
      </c>
      <c r="F21" t="s">
        <v>48</v>
      </c>
      <c r="G21" t="s">
        <v>120</v>
      </c>
      <c r="H21">
        <v>661</v>
      </c>
      <c r="I21" t="s">
        <v>36</v>
      </c>
      <c r="J21" t="s">
        <v>75</v>
      </c>
      <c r="K21">
        <v>3.5</v>
      </c>
      <c r="L21" t="s">
        <v>121</v>
      </c>
      <c r="M21">
        <v>0</v>
      </c>
      <c r="N21">
        <v>4.9000000000000004</v>
      </c>
      <c r="O21">
        <v>3</v>
      </c>
      <c r="P21">
        <v>4</v>
      </c>
      <c r="Q21">
        <v>7</v>
      </c>
      <c r="R21">
        <v>6</v>
      </c>
      <c r="S21" t="s">
        <v>6</v>
      </c>
    </row>
    <row r="22" spans="1:19">
      <c r="A22" t="s">
        <v>122</v>
      </c>
      <c r="B22">
        <v>24</v>
      </c>
      <c r="C22" t="s">
        <v>40</v>
      </c>
      <c r="D22" t="s">
        <v>123</v>
      </c>
      <c r="E22" t="s">
        <v>33</v>
      </c>
      <c r="F22" t="s">
        <v>97</v>
      </c>
      <c r="G22" t="s">
        <v>42</v>
      </c>
      <c r="H22">
        <v>4006</v>
      </c>
      <c r="I22" t="s">
        <v>93</v>
      </c>
      <c r="J22" t="s">
        <v>43</v>
      </c>
      <c r="K22">
        <v>2.9</v>
      </c>
      <c r="L22" t="s">
        <v>124</v>
      </c>
      <c r="M22">
        <v>25</v>
      </c>
      <c r="N22">
        <v>6.1</v>
      </c>
      <c r="O22">
        <v>3</v>
      </c>
      <c r="P22">
        <v>6</v>
      </c>
      <c r="Q22">
        <v>8.3000000000000007</v>
      </c>
      <c r="R22">
        <v>7.8</v>
      </c>
      <c r="S22" t="s">
        <v>6</v>
      </c>
    </row>
    <row r="23" spans="1:19">
      <c r="A23" t="s">
        <v>125</v>
      </c>
      <c r="B23">
        <v>37</v>
      </c>
      <c r="C23" t="s">
        <v>40</v>
      </c>
      <c r="D23" t="s">
        <v>52</v>
      </c>
      <c r="E23" t="s">
        <v>33</v>
      </c>
      <c r="F23" t="s">
        <v>34</v>
      </c>
      <c r="G23" t="s">
        <v>126</v>
      </c>
      <c r="H23">
        <v>1404</v>
      </c>
      <c r="I23" t="s">
        <v>36</v>
      </c>
      <c r="J23" t="s">
        <v>43</v>
      </c>
      <c r="K23">
        <v>1.7</v>
      </c>
      <c r="L23" t="s">
        <v>127</v>
      </c>
      <c r="N23">
        <v>5.7</v>
      </c>
      <c r="O23">
        <v>5</v>
      </c>
      <c r="P23">
        <v>7</v>
      </c>
      <c r="Q23">
        <v>3.4</v>
      </c>
      <c r="R23">
        <v>6.4</v>
      </c>
      <c r="S23" t="s">
        <v>6</v>
      </c>
    </row>
    <row r="24" spans="1:19">
      <c r="A24" t="s">
        <v>128</v>
      </c>
      <c r="B24">
        <v>21</v>
      </c>
      <c r="C24" t="s">
        <v>62</v>
      </c>
      <c r="E24" t="s">
        <v>47</v>
      </c>
      <c r="F24" t="s">
        <v>97</v>
      </c>
      <c r="G24" t="s">
        <v>74</v>
      </c>
      <c r="H24">
        <v>59</v>
      </c>
      <c r="I24" t="s">
        <v>36</v>
      </c>
      <c r="J24" t="s">
        <v>75</v>
      </c>
      <c r="K24">
        <v>3</v>
      </c>
      <c r="L24" t="s">
        <v>129</v>
      </c>
      <c r="M24">
        <v>25</v>
      </c>
      <c r="N24">
        <v>4.5</v>
      </c>
      <c r="O24">
        <v>4</v>
      </c>
      <c r="P24">
        <v>7</v>
      </c>
      <c r="Q24">
        <v>4.9000000000000004</v>
      </c>
      <c r="R24">
        <v>8.4</v>
      </c>
      <c r="S24" t="s">
        <v>6</v>
      </c>
    </row>
    <row r="25" spans="1:19">
      <c r="A25" t="s">
        <v>130</v>
      </c>
      <c r="B25">
        <v>23</v>
      </c>
      <c r="C25" t="s">
        <v>62</v>
      </c>
      <c r="D25" t="s">
        <v>113</v>
      </c>
      <c r="E25" t="s">
        <v>47</v>
      </c>
      <c r="F25" t="s">
        <v>64</v>
      </c>
      <c r="G25" t="s">
        <v>131</v>
      </c>
      <c r="H25">
        <v>237</v>
      </c>
      <c r="I25" t="s">
        <v>93</v>
      </c>
      <c r="J25" t="s">
        <v>59</v>
      </c>
      <c r="K25">
        <v>2.2000000000000002</v>
      </c>
      <c r="L25" t="s">
        <v>132</v>
      </c>
      <c r="M25">
        <v>0</v>
      </c>
      <c r="N25">
        <v>4.5</v>
      </c>
      <c r="O25">
        <v>4</v>
      </c>
      <c r="P25">
        <v>5</v>
      </c>
      <c r="Q25">
        <v>2</v>
      </c>
      <c r="S25" t="s">
        <v>6</v>
      </c>
    </row>
    <row r="26" spans="1:19">
      <c r="A26" t="s">
        <v>133</v>
      </c>
      <c r="B26">
        <v>17</v>
      </c>
      <c r="C26" t="s">
        <v>31</v>
      </c>
      <c r="E26" t="s">
        <v>47</v>
      </c>
      <c r="F26" t="s">
        <v>53</v>
      </c>
      <c r="G26" t="s">
        <v>134</v>
      </c>
      <c r="I26" t="s">
        <v>36</v>
      </c>
      <c r="J26" t="s">
        <v>71</v>
      </c>
      <c r="K26">
        <v>6.1</v>
      </c>
      <c r="L26" t="s">
        <v>135</v>
      </c>
      <c r="M26">
        <v>30</v>
      </c>
      <c r="N26">
        <v>7</v>
      </c>
      <c r="O26">
        <v>4</v>
      </c>
      <c r="P26">
        <v>8</v>
      </c>
      <c r="Q26">
        <v>8.9</v>
      </c>
      <c r="R26">
        <v>7.8</v>
      </c>
      <c r="S26" t="s">
        <v>6</v>
      </c>
    </row>
    <row r="27" spans="1:19">
      <c r="A27" t="s">
        <v>136</v>
      </c>
      <c r="B27">
        <v>54</v>
      </c>
      <c r="C27" t="s">
        <v>40</v>
      </c>
      <c r="D27" t="s">
        <v>52</v>
      </c>
      <c r="E27" t="s">
        <v>33</v>
      </c>
      <c r="F27" t="s">
        <v>64</v>
      </c>
      <c r="G27" t="s">
        <v>137</v>
      </c>
      <c r="H27">
        <v>2464</v>
      </c>
      <c r="I27" t="s">
        <v>79</v>
      </c>
      <c r="J27" t="s">
        <v>138</v>
      </c>
      <c r="K27">
        <v>3.9</v>
      </c>
      <c r="L27" t="s">
        <v>139</v>
      </c>
      <c r="M27">
        <v>0</v>
      </c>
      <c r="N27">
        <v>7.7</v>
      </c>
      <c r="O27">
        <v>4</v>
      </c>
      <c r="P27">
        <v>8</v>
      </c>
      <c r="Q27">
        <v>6.8</v>
      </c>
      <c r="R27">
        <v>7.6</v>
      </c>
      <c r="S27" t="s">
        <v>6</v>
      </c>
    </row>
    <row r="28" spans="1:19">
      <c r="A28" t="s">
        <v>140</v>
      </c>
      <c r="B28">
        <v>20</v>
      </c>
      <c r="C28" t="s">
        <v>62</v>
      </c>
      <c r="D28" t="s">
        <v>123</v>
      </c>
      <c r="E28" t="s">
        <v>47</v>
      </c>
      <c r="F28" t="s">
        <v>53</v>
      </c>
      <c r="G28" t="s">
        <v>141</v>
      </c>
      <c r="H28">
        <v>0</v>
      </c>
      <c r="I28" t="s">
        <v>36</v>
      </c>
      <c r="J28" t="s">
        <v>43</v>
      </c>
      <c r="K28">
        <v>1.3</v>
      </c>
      <c r="L28" t="s">
        <v>142</v>
      </c>
      <c r="M28">
        <v>0</v>
      </c>
      <c r="N28">
        <v>4.8</v>
      </c>
      <c r="O28">
        <v>4</v>
      </c>
      <c r="P28">
        <v>7</v>
      </c>
      <c r="Q28">
        <v>2.9</v>
      </c>
      <c r="R28">
        <v>8.1</v>
      </c>
      <c r="S28" t="s">
        <v>6</v>
      </c>
    </row>
    <row r="29" spans="1:19">
      <c r="A29" t="s">
        <v>143</v>
      </c>
      <c r="C29" t="s">
        <v>31</v>
      </c>
      <c r="D29" t="s">
        <v>41</v>
      </c>
      <c r="E29" t="s">
        <v>47</v>
      </c>
      <c r="F29" t="s">
        <v>53</v>
      </c>
      <c r="G29" t="s">
        <v>74</v>
      </c>
      <c r="H29">
        <v>100</v>
      </c>
      <c r="I29" t="s">
        <v>36</v>
      </c>
      <c r="J29" t="s">
        <v>75</v>
      </c>
      <c r="K29">
        <v>1.2</v>
      </c>
      <c r="L29" t="s">
        <v>144</v>
      </c>
      <c r="M29">
        <v>50</v>
      </c>
      <c r="N29">
        <v>5.8</v>
      </c>
      <c r="O29">
        <v>4</v>
      </c>
      <c r="P29">
        <v>7</v>
      </c>
      <c r="R29">
        <v>5.7</v>
      </c>
      <c r="S29" t="s">
        <v>6</v>
      </c>
    </row>
    <row r="30" spans="1:19">
      <c r="A30" t="s">
        <v>145</v>
      </c>
      <c r="B30">
        <v>19</v>
      </c>
      <c r="C30" t="s">
        <v>62</v>
      </c>
      <c r="D30" t="s">
        <v>91</v>
      </c>
      <c r="E30" t="s">
        <v>47</v>
      </c>
      <c r="F30" t="s">
        <v>53</v>
      </c>
      <c r="G30" t="s">
        <v>146</v>
      </c>
      <c r="H30">
        <v>0</v>
      </c>
      <c r="I30" t="s">
        <v>66</v>
      </c>
      <c r="J30" t="s">
        <v>102</v>
      </c>
      <c r="K30">
        <v>2</v>
      </c>
      <c r="L30" t="s">
        <v>147</v>
      </c>
      <c r="M30">
        <v>0</v>
      </c>
      <c r="N30">
        <v>4.8</v>
      </c>
      <c r="O30">
        <v>4</v>
      </c>
      <c r="P30">
        <v>6</v>
      </c>
      <c r="Q30">
        <v>3</v>
      </c>
      <c r="R30">
        <v>6.3</v>
      </c>
      <c r="S30" t="s">
        <v>3</v>
      </c>
    </row>
    <row r="31" spans="1:19">
      <c r="A31" t="s">
        <v>148</v>
      </c>
      <c r="B31">
        <v>36</v>
      </c>
      <c r="C31" t="s">
        <v>40</v>
      </c>
      <c r="D31" t="s">
        <v>113</v>
      </c>
      <c r="E31" t="s">
        <v>33</v>
      </c>
      <c r="F31" t="s">
        <v>149</v>
      </c>
      <c r="G31" t="s">
        <v>150</v>
      </c>
      <c r="H31">
        <v>9938</v>
      </c>
      <c r="I31" t="s">
        <v>66</v>
      </c>
      <c r="K31">
        <v>1.7</v>
      </c>
      <c r="L31" t="s">
        <v>151</v>
      </c>
      <c r="M31">
        <v>0</v>
      </c>
      <c r="N31">
        <v>5.8</v>
      </c>
      <c r="P31">
        <v>5</v>
      </c>
      <c r="Q31">
        <v>7.1</v>
      </c>
      <c r="R31">
        <v>7.6</v>
      </c>
      <c r="S31" t="s">
        <v>4</v>
      </c>
    </row>
    <row r="32" spans="1:19">
      <c r="A32" t="s">
        <v>152</v>
      </c>
      <c r="B32">
        <v>20</v>
      </c>
      <c r="C32" t="s">
        <v>62</v>
      </c>
      <c r="D32" t="s">
        <v>96</v>
      </c>
      <c r="E32" t="s">
        <v>47</v>
      </c>
      <c r="F32" t="s">
        <v>53</v>
      </c>
      <c r="H32">
        <v>415</v>
      </c>
      <c r="I32" t="s">
        <v>93</v>
      </c>
      <c r="J32" t="s">
        <v>71</v>
      </c>
      <c r="K32">
        <v>3</v>
      </c>
      <c r="L32" t="s">
        <v>153</v>
      </c>
      <c r="M32">
        <v>0</v>
      </c>
      <c r="N32">
        <v>4.4000000000000004</v>
      </c>
      <c r="O32">
        <v>3</v>
      </c>
      <c r="P32">
        <v>5</v>
      </c>
      <c r="Q32">
        <v>3.1</v>
      </c>
      <c r="R32">
        <v>5.5</v>
      </c>
      <c r="S32" t="s">
        <v>6</v>
      </c>
    </row>
    <row r="33" spans="1:19">
      <c r="A33" t="s">
        <v>154</v>
      </c>
      <c r="C33" t="s">
        <v>62</v>
      </c>
      <c r="D33" t="s">
        <v>69</v>
      </c>
      <c r="E33" t="s">
        <v>47</v>
      </c>
      <c r="F33" t="s">
        <v>97</v>
      </c>
      <c r="G33" t="s">
        <v>155</v>
      </c>
      <c r="H33">
        <v>366</v>
      </c>
      <c r="I33" t="s">
        <v>36</v>
      </c>
      <c r="J33" t="s">
        <v>75</v>
      </c>
      <c r="K33">
        <v>0.6</v>
      </c>
      <c r="L33" t="s">
        <v>156</v>
      </c>
      <c r="M33">
        <v>25</v>
      </c>
      <c r="N33">
        <v>4.0999999999999996</v>
      </c>
      <c r="P33">
        <v>6</v>
      </c>
      <c r="Q33">
        <v>3</v>
      </c>
      <c r="R33">
        <v>7.6</v>
      </c>
      <c r="S33" t="s">
        <v>6</v>
      </c>
    </row>
    <row r="34" spans="1:19">
      <c r="A34" t="s">
        <v>157</v>
      </c>
      <c r="B34">
        <v>23</v>
      </c>
      <c r="C34" t="s">
        <v>40</v>
      </c>
      <c r="D34" t="s">
        <v>41</v>
      </c>
      <c r="E34" t="s">
        <v>47</v>
      </c>
      <c r="F34" t="s">
        <v>97</v>
      </c>
      <c r="G34" t="s">
        <v>108</v>
      </c>
      <c r="H34">
        <v>0</v>
      </c>
      <c r="I34" t="s">
        <v>79</v>
      </c>
      <c r="J34" t="s">
        <v>102</v>
      </c>
      <c r="K34">
        <v>0.8</v>
      </c>
      <c r="L34" t="s">
        <v>158</v>
      </c>
      <c r="M34">
        <v>20</v>
      </c>
      <c r="N34">
        <v>4.3</v>
      </c>
      <c r="O34">
        <v>4</v>
      </c>
      <c r="P34">
        <v>5</v>
      </c>
      <c r="Q34">
        <v>2.9</v>
      </c>
      <c r="R34">
        <v>8.6</v>
      </c>
      <c r="S34" t="s">
        <v>6</v>
      </c>
    </row>
    <row r="35" spans="1:19">
      <c r="A35" t="s">
        <v>159</v>
      </c>
      <c r="B35">
        <v>18</v>
      </c>
      <c r="C35" t="s">
        <v>62</v>
      </c>
      <c r="D35" t="s">
        <v>160</v>
      </c>
      <c r="E35" t="s">
        <v>47</v>
      </c>
      <c r="F35" t="s">
        <v>53</v>
      </c>
      <c r="G35" t="s">
        <v>54</v>
      </c>
      <c r="H35">
        <v>0</v>
      </c>
      <c r="I35" t="s">
        <v>161</v>
      </c>
      <c r="J35" t="s">
        <v>102</v>
      </c>
      <c r="K35">
        <v>0.9</v>
      </c>
      <c r="L35" t="s">
        <v>162</v>
      </c>
      <c r="N35">
        <v>4.9000000000000004</v>
      </c>
      <c r="O35">
        <v>4</v>
      </c>
      <c r="P35">
        <v>6</v>
      </c>
      <c r="Q35">
        <v>2.5</v>
      </c>
      <c r="R35">
        <v>6.1</v>
      </c>
      <c r="S35" t="s">
        <v>4</v>
      </c>
    </row>
    <row r="36" spans="1:19">
      <c r="A36" t="s">
        <v>163</v>
      </c>
      <c r="B36">
        <v>28</v>
      </c>
      <c r="C36" t="s">
        <v>62</v>
      </c>
      <c r="D36" t="s">
        <v>123</v>
      </c>
      <c r="E36" t="s">
        <v>33</v>
      </c>
      <c r="F36" t="s">
        <v>64</v>
      </c>
      <c r="G36" t="s">
        <v>35</v>
      </c>
      <c r="H36">
        <v>3117</v>
      </c>
      <c r="I36" t="s">
        <v>66</v>
      </c>
      <c r="J36" t="s">
        <v>37</v>
      </c>
      <c r="K36">
        <v>3.9</v>
      </c>
      <c r="L36" t="s">
        <v>164</v>
      </c>
      <c r="M36">
        <v>10</v>
      </c>
      <c r="N36">
        <v>8.6</v>
      </c>
      <c r="O36">
        <v>3</v>
      </c>
      <c r="P36">
        <v>8</v>
      </c>
      <c r="Q36">
        <v>11.8</v>
      </c>
      <c r="R36">
        <v>7.6</v>
      </c>
      <c r="S36" t="s">
        <v>6</v>
      </c>
    </row>
    <row r="37" spans="1:19">
      <c r="A37" t="s">
        <v>165</v>
      </c>
      <c r="B37">
        <v>34</v>
      </c>
      <c r="C37" t="s">
        <v>40</v>
      </c>
      <c r="D37" t="s">
        <v>113</v>
      </c>
      <c r="E37" t="s">
        <v>33</v>
      </c>
      <c r="F37" t="s">
        <v>48</v>
      </c>
      <c r="G37" t="s">
        <v>57</v>
      </c>
      <c r="H37">
        <v>5669</v>
      </c>
      <c r="I37" t="s">
        <v>36</v>
      </c>
      <c r="J37" t="s">
        <v>75</v>
      </c>
      <c r="K37">
        <v>8</v>
      </c>
      <c r="L37" t="s">
        <v>166</v>
      </c>
      <c r="M37">
        <v>0</v>
      </c>
      <c r="N37">
        <v>7.3</v>
      </c>
      <c r="O37">
        <v>2</v>
      </c>
      <c r="P37">
        <v>7</v>
      </c>
      <c r="Q37">
        <v>16.3</v>
      </c>
      <c r="R37">
        <v>7.4</v>
      </c>
      <c r="S37" t="s">
        <v>6</v>
      </c>
    </row>
    <row r="38" spans="1:19">
      <c r="A38" t="s">
        <v>167</v>
      </c>
      <c r="B38">
        <v>63</v>
      </c>
      <c r="C38" t="s">
        <v>62</v>
      </c>
      <c r="D38" t="s">
        <v>63</v>
      </c>
      <c r="E38" t="s">
        <v>33</v>
      </c>
      <c r="F38" t="s">
        <v>34</v>
      </c>
      <c r="H38">
        <v>418</v>
      </c>
      <c r="I38" t="s">
        <v>36</v>
      </c>
      <c r="J38" t="s">
        <v>75</v>
      </c>
      <c r="K38">
        <v>1.6</v>
      </c>
      <c r="L38" t="s">
        <v>168</v>
      </c>
      <c r="N38">
        <v>4.9000000000000004</v>
      </c>
      <c r="O38">
        <v>4</v>
      </c>
      <c r="P38">
        <v>5</v>
      </c>
      <c r="Q38">
        <v>4.9000000000000004</v>
      </c>
      <c r="R38">
        <v>8.5</v>
      </c>
      <c r="S38" t="s">
        <v>4</v>
      </c>
    </row>
    <row r="39" spans="1:19">
      <c r="A39" t="s">
        <v>169</v>
      </c>
      <c r="C39" t="s">
        <v>62</v>
      </c>
      <c r="D39" t="s">
        <v>82</v>
      </c>
      <c r="E39" t="s">
        <v>47</v>
      </c>
      <c r="F39" t="s">
        <v>53</v>
      </c>
      <c r="G39" t="s">
        <v>74</v>
      </c>
      <c r="H39">
        <v>98</v>
      </c>
      <c r="I39" t="s">
        <v>66</v>
      </c>
      <c r="J39" t="s">
        <v>75</v>
      </c>
      <c r="K39">
        <v>1.7</v>
      </c>
      <c r="L39" t="s">
        <v>170</v>
      </c>
      <c r="M39">
        <v>20</v>
      </c>
      <c r="N39">
        <v>3.5</v>
      </c>
      <c r="O39">
        <v>3</v>
      </c>
      <c r="P39">
        <v>6</v>
      </c>
      <c r="Q39">
        <v>2.9</v>
      </c>
      <c r="R39">
        <v>7.7</v>
      </c>
      <c r="S39" t="s">
        <v>6</v>
      </c>
    </row>
    <row r="40" spans="1:19">
      <c r="A40" t="s">
        <v>171</v>
      </c>
      <c r="B40">
        <v>23</v>
      </c>
      <c r="C40" t="s">
        <v>62</v>
      </c>
      <c r="D40" t="s">
        <v>123</v>
      </c>
      <c r="E40" t="s">
        <v>47</v>
      </c>
      <c r="F40" t="s">
        <v>48</v>
      </c>
      <c r="G40" t="s">
        <v>172</v>
      </c>
      <c r="H40">
        <v>614</v>
      </c>
      <c r="I40" t="s">
        <v>66</v>
      </c>
      <c r="J40" t="s">
        <v>71</v>
      </c>
      <c r="K40">
        <v>1</v>
      </c>
      <c r="L40" t="s">
        <v>173</v>
      </c>
      <c r="M40">
        <v>20</v>
      </c>
      <c r="N40">
        <v>2.5</v>
      </c>
      <c r="O40">
        <v>4</v>
      </c>
      <c r="P40">
        <v>6</v>
      </c>
      <c r="Q40">
        <v>0.7</v>
      </c>
      <c r="R40">
        <v>6.6</v>
      </c>
      <c r="S40" t="s">
        <v>3</v>
      </c>
    </row>
    <row r="41" spans="1:19">
      <c r="A41" t="s">
        <v>174</v>
      </c>
      <c r="C41" t="s">
        <v>62</v>
      </c>
      <c r="D41" t="s">
        <v>123</v>
      </c>
      <c r="E41" t="s">
        <v>33</v>
      </c>
      <c r="F41" t="s">
        <v>64</v>
      </c>
      <c r="H41">
        <v>4102</v>
      </c>
      <c r="I41" t="s">
        <v>79</v>
      </c>
      <c r="J41" t="s">
        <v>59</v>
      </c>
      <c r="K41">
        <v>2.5</v>
      </c>
      <c r="L41" t="s">
        <v>175</v>
      </c>
      <c r="M41">
        <v>10</v>
      </c>
      <c r="N41">
        <v>6.1</v>
      </c>
      <c r="O41">
        <v>5</v>
      </c>
      <c r="P41">
        <v>7</v>
      </c>
      <c r="Q41">
        <v>5.6</v>
      </c>
      <c r="R41">
        <v>7.5</v>
      </c>
      <c r="S41" t="s">
        <v>6</v>
      </c>
    </row>
    <row r="42" spans="1:19">
      <c r="A42" t="s">
        <v>176</v>
      </c>
      <c r="B42">
        <v>27</v>
      </c>
      <c r="C42" t="s">
        <v>40</v>
      </c>
      <c r="D42" t="s">
        <v>41</v>
      </c>
      <c r="E42" t="s">
        <v>47</v>
      </c>
      <c r="F42" t="s">
        <v>53</v>
      </c>
      <c r="G42" t="s">
        <v>131</v>
      </c>
      <c r="H42">
        <v>74</v>
      </c>
      <c r="I42" t="s">
        <v>36</v>
      </c>
      <c r="J42" t="s">
        <v>59</v>
      </c>
      <c r="K42">
        <v>1.9</v>
      </c>
      <c r="L42" t="s">
        <v>177</v>
      </c>
      <c r="M42">
        <v>0</v>
      </c>
      <c r="O42">
        <v>4</v>
      </c>
      <c r="P42">
        <v>7</v>
      </c>
      <c r="Q42">
        <v>1.4</v>
      </c>
      <c r="R42">
        <v>7.4</v>
      </c>
      <c r="S42" t="s">
        <v>6</v>
      </c>
    </row>
    <row r="43" spans="1:19">
      <c r="A43" t="s">
        <v>178</v>
      </c>
      <c r="B43">
        <v>23</v>
      </c>
      <c r="C43" t="s">
        <v>62</v>
      </c>
      <c r="D43" t="s">
        <v>123</v>
      </c>
      <c r="E43" t="s">
        <v>47</v>
      </c>
      <c r="F43" t="s">
        <v>97</v>
      </c>
      <c r="G43" t="s">
        <v>105</v>
      </c>
      <c r="H43">
        <v>109</v>
      </c>
      <c r="I43" t="s">
        <v>36</v>
      </c>
      <c r="J43" t="s">
        <v>102</v>
      </c>
      <c r="K43">
        <v>0.6</v>
      </c>
      <c r="L43" t="s">
        <v>179</v>
      </c>
      <c r="M43">
        <v>25</v>
      </c>
      <c r="N43">
        <v>2.1</v>
      </c>
      <c r="O43">
        <v>4</v>
      </c>
      <c r="P43">
        <v>6</v>
      </c>
      <c r="Q43">
        <v>0.1</v>
      </c>
      <c r="R43">
        <v>2.2999999999999998</v>
      </c>
      <c r="S43" t="s">
        <v>4</v>
      </c>
    </row>
    <row r="44" spans="1:19">
      <c r="A44" t="s">
        <v>180</v>
      </c>
      <c r="B44">
        <v>21</v>
      </c>
      <c r="C44" t="s">
        <v>62</v>
      </c>
      <c r="D44" t="s">
        <v>123</v>
      </c>
      <c r="E44" t="s">
        <v>47</v>
      </c>
      <c r="F44" t="s">
        <v>53</v>
      </c>
      <c r="G44" t="s">
        <v>141</v>
      </c>
      <c r="H44">
        <v>118</v>
      </c>
      <c r="I44" t="s">
        <v>79</v>
      </c>
      <c r="J44" t="s">
        <v>43</v>
      </c>
      <c r="M44">
        <v>0</v>
      </c>
      <c r="N44">
        <v>7.6</v>
      </c>
      <c r="O44">
        <v>2</v>
      </c>
      <c r="P44">
        <v>6</v>
      </c>
      <c r="Q44">
        <v>12.4</v>
      </c>
      <c r="R44">
        <v>6.3</v>
      </c>
      <c r="S44" t="s">
        <v>6</v>
      </c>
    </row>
    <row r="45" spans="1:19">
      <c r="A45" t="s">
        <v>181</v>
      </c>
      <c r="B45">
        <v>31</v>
      </c>
      <c r="C45" t="s">
        <v>62</v>
      </c>
      <c r="D45" t="s">
        <v>69</v>
      </c>
      <c r="E45" t="s">
        <v>47</v>
      </c>
      <c r="F45" t="s">
        <v>64</v>
      </c>
      <c r="G45" t="s">
        <v>49</v>
      </c>
      <c r="H45">
        <v>523</v>
      </c>
      <c r="J45" t="s">
        <v>71</v>
      </c>
      <c r="K45">
        <v>2</v>
      </c>
      <c r="L45" t="s">
        <v>182</v>
      </c>
      <c r="M45">
        <v>0</v>
      </c>
      <c r="N45">
        <v>5.6</v>
      </c>
      <c r="O45">
        <v>4</v>
      </c>
      <c r="P45">
        <v>6</v>
      </c>
      <c r="Q45">
        <v>3.8</v>
      </c>
      <c r="R45">
        <v>2.8</v>
      </c>
      <c r="S45" t="s">
        <v>6</v>
      </c>
    </row>
    <row r="46" spans="1:19">
      <c r="A46" t="s">
        <v>183</v>
      </c>
      <c r="B46">
        <v>36</v>
      </c>
      <c r="C46" t="s">
        <v>62</v>
      </c>
      <c r="D46" t="s">
        <v>52</v>
      </c>
      <c r="E46" t="s">
        <v>33</v>
      </c>
      <c r="F46" t="s">
        <v>64</v>
      </c>
      <c r="G46" t="s">
        <v>184</v>
      </c>
      <c r="H46">
        <v>987</v>
      </c>
      <c r="I46" t="s">
        <v>36</v>
      </c>
      <c r="J46" t="s">
        <v>43</v>
      </c>
      <c r="K46">
        <v>1.5</v>
      </c>
      <c r="L46" t="s">
        <v>185</v>
      </c>
      <c r="M46">
        <v>0</v>
      </c>
      <c r="N46">
        <v>4.2</v>
      </c>
      <c r="O46">
        <v>3</v>
      </c>
      <c r="P46">
        <v>6</v>
      </c>
      <c r="Q46">
        <v>1.8</v>
      </c>
      <c r="R46">
        <v>7.6</v>
      </c>
      <c r="S46" t="s">
        <v>3</v>
      </c>
    </row>
    <row r="47" spans="1:19">
      <c r="A47" t="s">
        <v>186</v>
      </c>
      <c r="B47">
        <v>61</v>
      </c>
      <c r="C47" t="s">
        <v>40</v>
      </c>
      <c r="D47" t="s">
        <v>82</v>
      </c>
      <c r="E47" t="s">
        <v>33</v>
      </c>
      <c r="F47" t="s">
        <v>34</v>
      </c>
      <c r="G47" t="s">
        <v>187</v>
      </c>
      <c r="H47">
        <v>585</v>
      </c>
      <c r="I47" t="s">
        <v>79</v>
      </c>
      <c r="J47" t="s">
        <v>71</v>
      </c>
      <c r="K47">
        <v>23</v>
      </c>
      <c r="L47" t="s">
        <v>188</v>
      </c>
      <c r="M47">
        <v>10</v>
      </c>
      <c r="N47">
        <v>4.0999999999999996</v>
      </c>
      <c r="O47">
        <v>3</v>
      </c>
      <c r="P47">
        <v>4</v>
      </c>
      <c r="Q47">
        <v>5.4</v>
      </c>
      <c r="R47">
        <v>9.5</v>
      </c>
      <c r="S47" t="s">
        <v>4</v>
      </c>
    </row>
    <row r="48" spans="1:19">
      <c r="A48" t="s">
        <v>189</v>
      </c>
      <c r="B48">
        <v>26</v>
      </c>
      <c r="C48" t="s">
        <v>31</v>
      </c>
      <c r="D48" t="s">
        <v>160</v>
      </c>
      <c r="E48" t="s">
        <v>47</v>
      </c>
      <c r="F48" t="s">
        <v>149</v>
      </c>
      <c r="G48" t="s">
        <v>190</v>
      </c>
      <c r="H48">
        <v>0</v>
      </c>
      <c r="I48" t="s">
        <v>79</v>
      </c>
      <c r="J48" t="s">
        <v>43</v>
      </c>
      <c r="K48">
        <v>0.8</v>
      </c>
      <c r="L48" t="s">
        <v>191</v>
      </c>
      <c r="M48">
        <v>0</v>
      </c>
      <c r="O48">
        <v>2</v>
      </c>
      <c r="P48">
        <v>3</v>
      </c>
      <c r="Q48">
        <v>0</v>
      </c>
      <c r="R48">
        <v>3.7</v>
      </c>
      <c r="S48" t="s">
        <v>4</v>
      </c>
    </row>
    <row r="49" spans="1:19">
      <c r="A49" t="s">
        <v>192</v>
      </c>
      <c r="C49" t="s">
        <v>40</v>
      </c>
      <c r="D49" t="s">
        <v>113</v>
      </c>
      <c r="E49" t="s">
        <v>33</v>
      </c>
      <c r="F49" t="s">
        <v>64</v>
      </c>
      <c r="J49" t="s">
        <v>75</v>
      </c>
      <c r="K49">
        <v>3.1</v>
      </c>
      <c r="L49" t="s">
        <v>193</v>
      </c>
      <c r="M49">
        <v>30</v>
      </c>
      <c r="N49">
        <v>5.6</v>
      </c>
      <c r="O49">
        <v>3</v>
      </c>
      <c r="P49">
        <v>7</v>
      </c>
      <c r="Q49">
        <v>5.2</v>
      </c>
      <c r="R49">
        <v>8.4</v>
      </c>
      <c r="S49" t="s">
        <v>6</v>
      </c>
    </row>
    <row r="50" spans="1:19">
      <c r="A50" t="s">
        <v>194</v>
      </c>
      <c r="B50">
        <v>25</v>
      </c>
      <c r="C50" t="s">
        <v>40</v>
      </c>
      <c r="D50" t="s">
        <v>123</v>
      </c>
      <c r="E50" t="s">
        <v>33</v>
      </c>
      <c r="G50" t="s">
        <v>42</v>
      </c>
      <c r="H50">
        <v>2945</v>
      </c>
      <c r="I50" t="s">
        <v>87</v>
      </c>
      <c r="J50" t="s">
        <v>43</v>
      </c>
      <c r="L50" t="s">
        <v>195</v>
      </c>
      <c r="M50">
        <v>20</v>
      </c>
      <c r="N50">
        <v>9.4</v>
      </c>
      <c r="O50">
        <v>3</v>
      </c>
      <c r="P50">
        <v>8</v>
      </c>
      <c r="Q50">
        <v>15.1</v>
      </c>
      <c r="R50">
        <v>11.3</v>
      </c>
      <c r="S50" t="s">
        <v>6</v>
      </c>
    </row>
    <row r="51" spans="1:19">
      <c r="A51" t="s">
        <v>196</v>
      </c>
      <c r="B51">
        <v>31</v>
      </c>
      <c r="C51" t="s">
        <v>40</v>
      </c>
      <c r="D51" t="s">
        <v>41</v>
      </c>
      <c r="E51" t="s">
        <v>33</v>
      </c>
      <c r="F51" t="s">
        <v>64</v>
      </c>
      <c r="G51" t="s">
        <v>83</v>
      </c>
      <c r="H51">
        <v>969</v>
      </c>
      <c r="I51" t="s">
        <v>36</v>
      </c>
      <c r="J51" t="s">
        <v>75</v>
      </c>
      <c r="K51">
        <v>4.9000000000000004</v>
      </c>
      <c r="L51" t="s">
        <v>197</v>
      </c>
      <c r="M51">
        <v>0</v>
      </c>
      <c r="N51">
        <v>5.4</v>
      </c>
      <c r="O51">
        <v>3</v>
      </c>
      <c r="P51">
        <v>7</v>
      </c>
      <c r="Q51">
        <v>6.5</v>
      </c>
      <c r="R51">
        <v>9.3000000000000007</v>
      </c>
      <c r="S51" t="s">
        <v>6</v>
      </c>
    </row>
    <row r="52" spans="1:19">
      <c r="A52" t="s">
        <v>198</v>
      </c>
      <c r="B52">
        <v>22</v>
      </c>
      <c r="C52" t="s">
        <v>62</v>
      </c>
      <c r="D52" t="s">
        <v>96</v>
      </c>
      <c r="E52" t="s">
        <v>47</v>
      </c>
      <c r="F52" t="s">
        <v>97</v>
      </c>
      <c r="G52" t="s">
        <v>105</v>
      </c>
      <c r="H52">
        <v>0</v>
      </c>
      <c r="I52" t="s">
        <v>79</v>
      </c>
      <c r="J52" t="s">
        <v>102</v>
      </c>
      <c r="K52">
        <v>2</v>
      </c>
      <c r="L52" t="s">
        <v>199</v>
      </c>
      <c r="M52">
        <v>0</v>
      </c>
      <c r="N52">
        <v>4.9000000000000004</v>
      </c>
      <c r="P52">
        <v>6</v>
      </c>
      <c r="Q52">
        <v>4.3</v>
      </c>
      <c r="R52">
        <v>8.3000000000000007</v>
      </c>
      <c r="S52" t="s">
        <v>4</v>
      </c>
    </row>
    <row r="53" spans="1:19">
      <c r="A53" t="s">
        <v>200</v>
      </c>
      <c r="B53">
        <v>21</v>
      </c>
      <c r="C53" t="s">
        <v>62</v>
      </c>
      <c r="D53" t="s">
        <v>91</v>
      </c>
      <c r="E53" t="s">
        <v>47</v>
      </c>
      <c r="F53" t="s">
        <v>97</v>
      </c>
      <c r="G53" t="s">
        <v>105</v>
      </c>
      <c r="H53">
        <v>221</v>
      </c>
      <c r="I53" t="s">
        <v>87</v>
      </c>
      <c r="J53" t="s">
        <v>71</v>
      </c>
      <c r="K53">
        <v>6.5</v>
      </c>
      <c r="L53" t="s">
        <v>201</v>
      </c>
      <c r="M53">
        <v>10</v>
      </c>
      <c r="N53">
        <v>8.3000000000000007</v>
      </c>
      <c r="O53">
        <v>2</v>
      </c>
      <c r="P53">
        <v>6</v>
      </c>
      <c r="Q53">
        <v>14.2</v>
      </c>
      <c r="R53">
        <v>4.8</v>
      </c>
      <c r="S53" t="s">
        <v>4</v>
      </c>
    </row>
    <row r="54" spans="1:19">
      <c r="A54" t="s">
        <v>202</v>
      </c>
      <c r="B54">
        <v>21</v>
      </c>
      <c r="C54" t="s">
        <v>40</v>
      </c>
      <c r="D54" t="s">
        <v>160</v>
      </c>
      <c r="E54" t="s">
        <v>47</v>
      </c>
      <c r="F54" t="s">
        <v>64</v>
      </c>
      <c r="G54" t="s">
        <v>203</v>
      </c>
      <c r="H54">
        <v>88</v>
      </c>
      <c r="I54" t="s">
        <v>36</v>
      </c>
      <c r="J54" t="s">
        <v>71</v>
      </c>
      <c r="K54">
        <v>1.6</v>
      </c>
      <c r="L54" t="s">
        <v>204</v>
      </c>
      <c r="M54">
        <v>10</v>
      </c>
      <c r="N54">
        <v>3.4</v>
      </c>
      <c r="O54">
        <v>3</v>
      </c>
      <c r="P54">
        <v>5</v>
      </c>
      <c r="Q54">
        <v>5.9</v>
      </c>
      <c r="R54">
        <v>6.5</v>
      </c>
      <c r="S54" t="s">
        <v>4</v>
      </c>
    </row>
    <row r="55" spans="1:19">
      <c r="A55" t="s">
        <v>205</v>
      </c>
      <c r="B55">
        <v>20</v>
      </c>
      <c r="C55" t="s">
        <v>62</v>
      </c>
      <c r="D55" t="s">
        <v>52</v>
      </c>
      <c r="E55" t="s">
        <v>47</v>
      </c>
      <c r="F55" t="s">
        <v>97</v>
      </c>
      <c r="G55" t="s">
        <v>141</v>
      </c>
      <c r="H55">
        <v>206</v>
      </c>
      <c r="I55" t="s">
        <v>79</v>
      </c>
      <c r="J55" t="s">
        <v>43</v>
      </c>
      <c r="K55">
        <v>2.4</v>
      </c>
      <c r="L55" t="s">
        <v>206</v>
      </c>
      <c r="M55">
        <v>20</v>
      </c>
      <c r="N55">
        <v>5.5</v>
      </c>
      <c r="O55">
        <v>3</v>
      </c>
      <c r="P55">
        <v>5</v>
      </c>
      <c r="Q55">
        <v>7.3</v>
      </c>
      <c r="R55">
        <v>8.6</v>
      </c>
      <c r="S55" t="s">
        <v>6</v>
      </c>
    </row>
    <row r="56" spans="1:19">
      <c r="A56" t="s">
        <v>207</v>
      </c>
      <c r="B56">
        <v>30</v>
      </c>
      <c r="C56" t="s">
        <v>62</v>
      </c>
      <c r="D56" t="s">
        <v>160</v>
      </c>
      <c r="E56" t="s">
        <v>33</v>
      </c>
      <c r="F56" t="s">
        <v>48</v>
      </c>
      <c r="G56" t="s">
        <v>208</v>
      </c>
      <c r="H56">
        <v>579</v>
      </c>
      <c r="I56" t="s">
        <v>93</v>
      </c>
      <c r="J56" t="s">
        <v>43</v>
      </c>
      <c r="K56">
        <v>3.8</v>
      </c>
      <c r="L56" t="s">
        <v>209</v>
      </c>
      <c r="M56">
        <v>0</v>
      </c>
      <c r="N56">
        <v>6.1</v>
      </c>
      <c r="O56">
        <v>4</v>
      </c>
      <c r="P56">
        <v>6</v>
      </c>
      <c r="Q56">
        <v>9.4</v>
      </c>
      <c r="R56">
        <v>7.4</v>
      </c>
      <c r="S56" t="s">
        <v>3</v>
      </c>
    </row>
    <row r="57" spans="1:19">
      <c r="A57" t="s">
        <v>210</v>
      </c>
      <c r="B57">
        <v>34</v>
      </c>
      <c r="C57" t="s">
        <v>40</v>
      </c>
      <c r="D57" t="s">
        <v>160</v>
      </c>
      <c r="E57" t="s">
        <v>33</v>
      </c>
      <c r="F57" t="s">
        <v>34</v>
      </c>
      <c r="G57" t="s">
        <v>98</v>
      </c>
      <c r="H57">
        <v>874</v>
      </c>
      <c r="I57" t="s">
        <v>36</v>
      </c>
      <c r="J57" t="s">
        <v>43</v>
      </c>
      <c r="K57">
        <v>1.9</v>
      </c>
      <c r="L57" t="s">
        <v>211</v>
      </c>
      <c r="M57">
        <v>0</v>
      </c>
      <c r="N57">
        <v>5.0999999999999996</v>
      </c>
      <c r="O57">
        <v>4</v>
      </c>
      <c r="P57">
        <v>7</v>
      </c>
      <c r="Q57">
        <v>4.9000000000000004</v>
      </c>
      <c r="R57">
        <v>8.3000000000000007</v>
      </c>
      <c r="S57" t="s">
        <v>6</v>
      </c>
    </row>
    <row r="58" spans="1:19">
      <c r="A58" t="s">
        <v>212</v>
      </c>
      <c r="B58">
        <v>18</v>
      </c>
      <c r="C58" t="s">
        <v>62</v>
      </c>
      <c r="D58" t="s">
        <v>160</v>
      </c>
      <c r="E58" t="s">
        <v>47</v>
      </c>
      <c r="F58" t="s">
        <v>97</v>
      </c>
      <c r="G58" t="s">
        <v>74</v>
      </c>
      <c r="H58">
        <v>198</v>
      </c>
      <c r="I58" t="s">
        <v>87</v>
      </c>
      <c r="J58" t="s">
        <v>75</v>
      </c>
      <c r="L58" t="s">
        <v>213</v>
      </c>
      <c r="M58">
        <v>0</v>
      </c>
      <c r="N58">
        <v>6.9</v>
      </c>
      <c r="O58">
        <v>2</v>
      </c>
      <c r="P58">
        <v>6</v>
      </c>
      <c r="Q58">
        <v>7.2</v>
      </c>
      <c r="R58">
        <v>7.2</v>
      </c>
      <c r="S58" t="s">
        <v>3</v>
      </c>
    </row>
    <row r="59" spans="1:19">
      <c r="A59" t="s">
        <v>214</v>
      </c>
      <c r="B59">
        <v>32</v>
      </c>
      <c r="C59" t="s">
        <v>62</v>
      </c>
      <c r="D59" t="s">
        <v>69</v>
      </c>
      <c r="E59" t="s">
        <v>33</v>
      </c>
      <c r="F59" t="s">
        <v>97</v>
      </c>
      <c r="G59" t="s">
        <v>215</v>
      </c>
      <c r="H59">
        <v>4499</v>
      </c>
      <c r="I59" t="s">
        <v>66</v>
      </c>
      <c r="J59" t="s">
        <v>37</v>
      </c>
      <c r="K59">
        <v>1.3</v>
      </c>
      <c r="L59" t="s">
        <v>216</v>
      </c>
      <c r="M59">
        <v>20</v>
      </c>
      <c r="N59">
        <v>2.7</v>
      </c>
      <c r="O59">
        <v>4</v>
      </c>
      <c r="P59">
        <v>4</v>
      </c>
      <c r="Q59">
        <v>0.5</v>
      </c>
      <c r="R59">
        <v>6.2</v>
      </c>
      <c r="S59" t="s">
        <v>6</v>
      </c>
    </row>
    <row r="60" spans="1:19">
      <c r="A60" t="s">
        <v>217</v>
      </c>
      <c r="B60">
        <v>22</v>
      </c>
      <c r="C60" t="s">
        <v>62</v>
      </c>
      <c r="D60" t="s">
        <v>96</v>
      </c>
      <c r="E60" t="s">
        <v>33</v>
      </c>
      <c r="F60" t="s">
        <v>97</v>
      </c>
      <c r="G60" t="s">
        <v>218</v>
      </c>
      <c r="H60">
        <v>3546</v>
      </c>
      <c r="I60" t="s">
        <v>87</v>
      </c>
      <c r="J60" t="s">
        <v>88</v>
      </c>
      <c r="K60">
        <v>1.7</v>
      </c>
      <c r="L60" t="s">
        <v>219</v>
      </c>
      <c r="M60">
        <v>0</v>
      </c>
      <c r="N60">
        <v>7</v>
      </c>
      <c r="O60">
        <v>4</v>
      </c>
      <c r="P60">
        <v>7</v>
      </c>
      <c r="Q60">
        <v>3.4</v>
      </c>
      <c r="R60">
        <v>6.7</v>
      </c>
      <c r="S60" t="s">
        <v>6</v>
      </c>
    </row>
    <row r="61" spans="1:19">
      <c r="A61" t="s">
        <v>220</v>
      </c>
      <c r="C61" t="s">
        <v>40</v>
      </c>
      <c r="D61" t="s">
        <v>160</v>
      </c>
      <c r="E61" t="s">
        <v>47</v>
      </c>
      <c r="F61" t="s">
        <v>64</v>
      </c>
      <c r="H61">
        <v>190</v>
      </c>
      <c r="I61" t="s">
        <v>36</v>
      </c>
      <c r="J61" t="s">
        <v>71</v>
      </c>
      <c r="K61">
        <v>7.7</v>
      </c>
      <c r="L61" t="s">
        <v>221</v>
      </c>
      <c r="N61">
        <v>8.4</v>
      </c>
      <c r="O61">
        <v>5</v>
      </c>
      <c r="P61">
        <v>10</v>
      </c>
      <c r="Q61">
        <v>13.6</v>
      </c>
      <c r="R61">
        <v>6.8</v>
      </c>
      <c r="S61" t="s">
        <v>6</v>
      </c>
    </row>
    <row r="62" spans="1:19">
      <c r="A62" t="s">
        <v>222</v>
      </c>
      <c r="B62">
        <v>33</v>
      </c>
      <c r="C62" t="s">
        <v>62</v>
      </c>
      <c r="D62" t="s">
        <v>63</v>
      </c>
      <c r="E62" t="s">
        <v>33</v>
      </c>
      <c r="F62" t="s">
        <v>64</v>
      </c>
      <c r="G62" t="s">
        <v>223</v>
      </c>
      <c r="H62">
        <v>552</v>
      </c>
      <c r="I62" t="s">
        <v>79</v>
      </c>
      <c r="J62" t="s">
        <v>43</v>
      </c>
      <c r="K62">
        <v>0.5</v>
      </c>
      <c r="L62" t="s">
        <v>224</v>
      </c>
      <c r="M62">
        <v>20</v>
      </c>
      <c r="N62">
        <v>2.9</v>
      </c>
      <c r="O62">
        <v>3</v>
      </c>
      <c r="P62">
        <v>5</v>
      </c>
      <c r="Q62">
        <v>0.1</v>
      </c>
      <c r="R62">
        <v>10.199999999999999</v>
      </c>
      <c r="S62" t="s">
        <v>4</v>
      </c>
    </row>
    <row r="63" spans="1:19">
      <c r="A63" t="s">
        <v>225</v>
      </c>
      <c r="B63">
        <v>22</v>
      </c>
      <c r="C63" t="s">
        <v>62</v>
      </c>
      <c r="D63" t="s">
        <v>46</v>
      </c>
      <c r="E63" t="s">
        <v>47</v>
      </c>
      <c r="F63" t="s">
        <v>48</v>
      </c>
      <c r="G63" t="s">
        <v>49</v>
      </c>
      <c r="H63">
        <v>0</v>
      </c>
      <c r="I63" t="s">
        <v>93</v>
      </c>
      <c r="J63" t="s">
        <v>102</v>
      </c>
      <c r="K63">
        <v>5.9</v>
      </c>
      <c r="L63" t="s">
        <v>226</v>
      </c>
      <c r="M63">
        <v>0</v>
      </c>
      <c r="N63">
        <v>8.1</v>
      </c>
      <c r="O63">
        <v>3</v>
      </c>
      <c r="P63">
        <v>7</v>
      </c>
      <c r="Q63">
        <v>9</v>
      </c>
      <c r="R63">
        <v>7.3</v>
      </c>
      <c r="S63" t="s">
        <v>6</v>
      </c>
    </row>
    <row r="64" spans="1:19">
      <c r="A64" t="s">
        <v>227</v>
      </c>
      <c r="B64">
        <v>24</v>
      </c>
      <c r="C64" t="s">
        <v>62</v>
      </c>
      <c r="D64" t="s">
        <v>160</v>
      </c>
      <c r="E64" t="s">
        <v>47</v>
      </c>
      <c r="F64" t="s">
        <v>97</v>
      </c>
      <c r="G64" t="s">
        <v>74</v>
      </c>
      <c r="H64">
        <v>63</v>
      </c>
      <c r="I64" t="s">
        <v>66</v>
      </c>
      <c r="J64" t="s">
        <v>75</v>
      </c>
      <c r="K64">
        <v>3</v>
      </c>
      <c r="L64" t="s">
        <v>228</v>
      </c>
      <c r="M64">
        <v>0</v>
      </c>
      <c r="N64">
        <v>7</v>
      </c>
      <c r="O64">
        <v>4</v>
      </c>
      <c r="P64">
        <v>9</v>
      </c>
      <c r="Q64">
        <v>10.5</v>
      </c>
      <c r="R64">
        <v>6.4</v>
      </c>
      <c r="S64" t="s">
        <v>6</v>
      </c>
    </row>
    <row r="65" spans="1:19">
      <c r="A65" t="s">
        <v>229</v>
      </c>
      <c r="B65">
        <v>20</v>
      </c>
      <c r="C65" t="s">
        <v>62</v>
      </c>
      <c r="D65" t="s">
        <v>52</v>
      </c>
      <c r="E65" t="s">
        <v>47</v>
      </c>
      <c r="F65" t="s">
        <v>64</v>
      </c>
      <c r="G65" t="s">
        <v>49</v>
      </c>
      <c r="H65">
        <v>104</v>
      </c>
      <c r="I65" t="s">
        <v>36</v>
      </c>
      <c r="J65" t="s">
        <v>102</v>
      </c>
      <c r="K65">
        <v>6.8</v>
      </c>
      <c r="L65" t="s">
        <v>230</v>
      </c>
      <c r="M65">
        <v>0</v>
      </c>
      <c r="N65">
        <v>6.9</v>
      </c>
      <c r="O65">
        <v>2</v>
      </c>
      <c r="P65">
        <v>6</v>
      </c>
      <c r="Q65">
        <v>14.1</v>
      </c>
      <c r="R65">
        <v>6.4</v>
      </c>
      <c r="S65" t="s">
        <v>4</v>
      </c>
    </row>
    <row r="66" spans="1:19">
      <c r="A66" t="s">
        <v>231</v>
      </c>
      <c r="C66" t="s">
        <v>62</v>
      </c>
      <c r="D66" t="s">
        <v>123</v>
      </c>
      <c r="E66" t="s">
        <v>47</v>
      </c>
      <c r="F66" t="s">
        <v>64</v>
      </c>
      <c r="G66" t="s">
        <v>232</v>
      </c>
      <c r="H66">
        <v>334</v>
      </c>
      <c r="I66" t="s">
        <v>36</v>
      </c>
      <c r="J66" t="s">
        <v>102</v>
      </c>
      <c r="K66">
        <v>4.0999999999999996</v>
      </c>
      <c r="L66" t="s">
        <v>233</v>
      </c>
      <c r="M66">
        <v>20</v>
      </c>
      <c r="N66">
        <v>5.2</v>
      </c>
      <c r="O66">
        <v>3</v>
      </c>
      <c r="P66">
        <v>7</v>
      </c>
      <c r="Q66">
        <v>8.4</v>
      </c>
      <c r="R66">
        <v>5.9</v>
      </c>
      <c r="S66" t="s">
        <v>6</v>
      </c>
    </row>
    <row r="67" spans="1:19">
      <c r="A67" t="s">
        <v>234</v>
      </c>
      <c r="C67" t="s">
        <v>40</v>
      </c>
      <c r="D67" t="s">
        <v>113</v>
      </c>
      <c r="E67" t="s">
        <v>33</v>
      </c>
      <c r="F67" t="s">
        <v>64</v>
      </c>
      <c r="H67">
        <v>8255</v>
      </c>
      <c r="I67" t="s">
        <v>93</v>
      </c>
      <c r="K67">
        <v>1.8</v>
      </c>
      <c r="L67" t="s">
        <v>235</v>
      </c>
      <c r="M67">
        <v>0</v>
      </c>
      <c r="N67">
        <v>1.8</v>
      </c>
      <c r="O67">
        <v>3</v>
      </c>
      <c r="P67">
        <v>4</v>
      </c>
      <c r="R67">
        <v>12.2</v>
      </c>
      <c r="S67" t="s">
        <v>4</v>
      </c>
    </row>
    <row r="68" spans="1:19">
      <c r="A68" t="s">
        <v>236</v>
      </c>
      <c r="B68">
        <v>22</v>
      </c>
      <c r="C68" t="s">
        <v>31</v>
      </c>
      <c r="D68" t="s">
        <v>52</v>
      </c>
      <c r="E68" t="s">
        <v>47</v>
      </c>
      <c r="F68" t="s">
        <v>53</v>
      </c>
      <c r="G68" t="s">
        <v>237</v>
      </c>
      <c r="H68">
        <v>68</v>
      </c>
      <c r="I68" t="s">
        <v>36</v>
      </c>
      <c r="K68">
        <v>0.7</v>
      </c>
      <c r="L68" t="s">
        <v>238</v>
      </c>
      <c r="M68">
        <v>0</v>
      </c>
      <c r="N68">
        <v>4.0999999999999996</v>
      </c>
      <c r="O68">
        <v>4</v>
      </c>
      <c r="P68">
        <v>6</v>
      </c>
      <c r="Q68">
        <v>2.1</v>
      </c>
      <c r="R68">
        <v>8.6</v>
      </c>
      <c r="S68" t="s">
        <v>4</v>
      </c>
    </row>
    <row r="69" spans="1:19">
      <c r="A69" t="s">
        <v>239</v>
      </c>
      <c r="B69">
        <v>23</v>
      </c>
      <c r="C69" t="s">
        <v>40</v>
      </c>
      <c r="D69" t="s">
        <v>63</v>
      </c>
      <c r="E69" t="s">
        <v>47</v>
      </c>
      <c r="F69" t="s">
        <v>97</v>
      </c>
      <c r="G69" t="s">
        <v>108</v>
      </c>
      <c r="H69">
        <v>0</v>
      </c>
      <c r="I69" t="s">
        <v>36</v>
      </c>
      <c r="J69" t="s">
        <v>102</v>
      </c>
      <c r="L69" t="s">
        <v>240</v>
      </c>
      <c r="M69">
        <v>0</v>
      </c>
      <c r="N69">
        <v>3.8</v>
      </c>
      <c r="O69">
        <v>2</v>
      </c>
      <c r="P69">
        <v>6</v>
      </c>
      <c r="Q69">
        <v>0.1</v>
      </c>
      <c r="R69">
        <v>2.6</v>
      </c>
      <c r="S69" t="s">
        <v>6</v>
      </c>
    </row>
    <row r="70" spans="1:19">
      <c r="A70" t="s">
        <v>241</v>
      </c>
      <c r="B70">
        <v>32</v>
      </c>
      <c r="C70" t="s">
        <v>62</v>
      </c>
      <c r="D70" t="s">
        <v>96</v>
      </c>
      <c r="E70" t="s">
        <v>33</v>
      </c>
      <c r="F70" t="s">
        <v>64</v>
      </c>
      <c r="G70" t="s">
        <v>242</v>
      </c>
      <c r="H70">
        <v>3337</v>
      </c>
      <c r="I70" t="s">
        <v>36</v>
      </c>
      <c r="K70">
        <v>1.3</v>
      </c>
      <c r="L70" t="s">
        <v>243</v>
      </c>
      <c r="M70">
        <v>0</v>
      </c>
      <c r="N70">
        <v>3.8</v>
      </c>
      <c r="O70">
        <v>4</v>
      </c>
      <c r="P70">
        <v>7</v>
      </c>
      <c r="Q70">
        <v>2.9</v>
      </c>
      <c r="R70">
        <v>7.6</v>
      </c>
      <c r="S70" t="s">
        <v>6</v>
      </c>
    </row>
    <row r="71" spans="1:19">
      <c r="A71" t="s">
        <v>244</v>
      </c>
      <c r="B71">
        <v>17</v>
      </c>
      <c r="D71" t="s">
        <v>63</v>
      </c>
      <c r="E71" t="s">
        <v>47</v>
      </c>
      <c r="F71" t="s">
        <v>53</v>
      </c>
      <c r="H71">
        <v>234</v>
      </c>
      <c r="I71" t="s">
        <v>36</v>
      </c>
      <c r="J71" t="s">
        <v>102</v>
      </c>
      <c r="K71">
        <v>5.0999999999999996</v>
      </c>
      <c r="L71" t="s">
        <v>245</v>
      </c>
      <c r="M71">
        <v>0</v>
      </c>
      <c r="N71">
        <v>8.3000000000000007</v>
      </c>
      <c r="O71">
        <v>5</v>
      </c>
      <c r="P71">
        <v>9</v>
      </c>
      <c r="Q71">
        <v>11.4</v>
      </c>
      <c r="R71">
        <v>7.2</v>
      </c>
      <c r="S71" t="s">
        <v>6</v>
      </c>
    </row>
    <row r="72" spans="1:19">
      <c r="A72" t="s">
        <v>246</v>
      </c>
      <c r="B72">
        <v>30</v>
      </c>
      <c r="D72" t="s">
        <v>52</v>
      </c>
      <c r="E72" t="s">
        <v>33</v>
      </c>
      <c r="F72" t="s">
        <v>48</v>
      </c>
      <c r="G72" t="s">
        <v>247</v>
      </c>
      <c r="H72">
        <v>1699</v>
      </c>
      <c r="I72" t="s">
        <v>87</v>
      </c>
      <c r="J72" t="s">
        <v>37</v>
      </c>
      <c r="K72">
        <v>5.5</v>
      </c>
      <c r="L72" t="s">
        <v>248</v>
      </c>
      <c r="M72">
        <v>10</v>
      </c>
      <c r="O72">
        <v>4</v>
      </c>
      <c r="P72">
        <v>8</v>
      </c>
      <c r="Q72">
        <v>6.5</v>
      </c>
      <c r="R72">
        <v>7.5</v>
      </c>
      <c r="S72" t="s">
        <v>6</v>
      </c>
    </row>
    <row r="73" spans="1:19">
      <c r="A73" t="s">
        <v>249</v>
      </c>
      <c r="B73">
        <v>23</v>
      </c>
      <c r="C73" t="s">
        <v>40</v>
      </c>
      <c r="D73" t="s">
        <v>52</v>
      </c>
      <c r="E73" t="s">
        <v>47</v>
      </c>
      <c r="G73" t="s">
        <v>141</v>
      </c>
      <c r="H73">
        <v>50</v>
      </c>
      <c r="I73" t="s">
        <v>161</v>
      </c>
      <c r="J73" t="s">
        <v>43</v>
      </c>
      <c r="K73">
        <v>9.8000000000000007</v>
      </c>
      <c r="L73" t="s">
        <v>250</v>
      </c>
      <c r="M73">
        <v>0</v>
      </c>
      <c r="N73">
        <v>9.1</v>
      </c>
      <c r="O73">
        <v>4</v>
      </c>
      <c r="P73">
        <v>9</v>
      </c>
      <c r="Q73">
        <v>15.8</v>
      </c>
      <c r="R73">
        <v>5.2</v>
      </c>
      <c r="S73" t="s">
        <v>6</v>
      </c>
    </row>
    <row r="74" spans="1:19">
      <c r="A74" t="s">
        <v>251</v>
      </c>
      <c r="C74" t="s">
        <v>62</v>
      </c>
      <c r="D74" t="s">
        <v>96</v>
      </c>
      <c r="E74" t="s">
        <v>47</v>
      </c>
      <c r="F74" t="s">
        <v>53</v>
      </c>
      <c r="G74" t="s">
        <v>134</v>
      </c>
      <c r="H74">
        <v>397</v>
      </c>
      <c r="I74" t="s">
        <v>79</v>
      </c>
      <c r="J74" t="s">
        <v>71</v>
      </c>
      <c r="K74">
        <v>5.4</v>
      </c>
      <c r="L74" t="s">
        <v>252</v>
      </c>
      <c r="M74">
        <v>0</v>
      </c>
      <c r="N74">
        <v>9.3000000000000007</v>
      </c>
      <c r="O74">
        <v>3</v>
      </c>
      <c r="P74">
        <v>8</v>
      </c>
      <c r="Q74">
        <v>13.1</v>
      </c>
      <c r="R74">
        <v>6.5</v>
      </c>
      <c r="S74" t="s">
        <v>6</v>
      </c>
    </row>
    <row r="75" spans="1:19">
      <c r="A75" t="s">
        <v>253</v>
      </c>
      <c r="B75">
        <v>39</v>
      </c>
      <c r="C75" t="s">
        <v>62</v>
      </c>
      <c r="D75" t="s">
        <v>82</v>
      </c>
      <c r="E75" t="s">
        <v>33</v>
      </c>
      <c r="F75" t="s">
        <v>97</v>
      </c>
      <c r="G75" t="s">
        <v>254</v>
      </c>
      <c r="H75">
        <v>488</v>
      </c>
      <c r="I75" t="s">
        <v>255</v>
      </c>
      <c r="J75" t="s">
        <v>71</v>
      </c>
      <c r="K75">
        <v>1.2</v>
      </c>
      <c r="L75" t="s">
        <v>256</v>
      </c>
      <c r="M75">
        <v>20</v>
      </c>
      <c r="N75">
        <v>3.4</v>
      </c>
      <c r="O75">
        <v>3</v>
      </c>
      <c r="Q75">
        <v>2.9</v>
      </c>
      <c r="R75">
        <v>6.8</v>
      </c>
      <c r="S75" t="s">
        <v>3</v>
      </c>
    </row>
    <row r="76" spans="1:19">
      <c r="A76" t="s">
        <v>257</v>
      </c>
      <c r="B76">
        <v>29</v>
      </c>
      <c r="C76" t="s">
        <v>62</v>
      </c>
      <c r="D76" t="s">
        <v>113</v>
      </c>
      <c r="E76" t="s">
        <v>33</v>
      </c>
      <c r="F76" t="s">
        <v>64</v>
      </c>
      <c r="G76" t="s">
        <v>83</v>
      </c>
      <c r="H76">
        <v>5260</v>
      </c>
      <c r="I76" t="s">
        <v>36</v>
      </c>
      <c r="J76" t="s">
        <v>75</v>
      </c>
      <c r="K76">
        <v>1.6</v>
      </c>
      <c r="L76" t="s">
        <v>258</v>
      </c>
      <c r="M76">
        <v>0</v>
      </c>
      <c r="N76">
        <v>3.9</v>
      </c>
      <c r="O76">
        <v>4</v>
      </c>
      <c r="P76">
        <v>5</v>
      </c>
      <c r="Q76">
        <v>5.2</v>
      </c>
      <c r="R76">
        <v>6.7</v>
      </c>
      <c r="S76" t="s">
        <v>5</v>
      </c>
    </row>
    <row r="77" spans="1:19">
      <c r="A77" t="s">
        <v>259</v>
      </c>
      <c r="B77">
        <v>17</v>
      </c>
      <c r="D77" t="s">
        <v>160</v>
      </c>
      <c r="E77" t="s">
        <v>47</v>
      </c>
      <c r="F77" t="s">
        <v>48</v>
      </c>
      <c r="G77" t="s">
        <v>120</v>
      </c>
      <c r="H77">
        <v>130</v>
      </c>
      <c r="I77" t="s">
        <v>66</v>
      </c>
      <c r="K77">
        <v>2.4</v>
      </c>
      <c r="L77" t="s">
        <v>260</v>
      </c>
      <c r="M77">
        <v>20</v>
      </c>
      <c r="N77">
        <v>4.8</v>
      </c>
      <c r="O77">
        <v>4</v>
      </c>
      <c r="P77">
        <v>8</v>
      </c>
      <c r="Q77">
        <v>4.7</v>
      </c>
      <c r="R77">
        <v>3.2</v>
      </c>
      <c r="S77" t="s">
        <v>6</v>
      </c>
    </row>
    <row r="78" spans="1:19">
      <c r="A78" t="s">
        <v>261</v>
      </c>
      <c r="B78">
        <v>16</v>
      </c>
      <c r="C78" t="s">
        <v>40</v>
      </c>
      <c r="D78" t="s">
        <v>160</v>
      </c>
      <c r="E78" t="s">
        <v>47</v>
      </c>
      <c r="F78" t="s">
        <v>53</v>
      </c>
      <c r="G78" t="s">
        <v>54</v>
      </c>
      <c r="H78">
        <v>76</v>
      </c>
      <c r="I78" t="s">
        <v>36</v>
      </c>
      <c r="J78" t="s">
        <v>37</v>
      </c>
      <c r="K78">
        <v>1.2</v>
      </c>
      <c r="L78" t="s">
        <v>262</v>
      </c>
      <c r="M78">
        <v>0</v>
      </c>
      <c r="N78">
        <v>3.4</v>
      </c>
      <c r="O78">
        <v>3</v>
      </c>
      <c r="P78">
        <v>5</v>
      </c>
      <c r="Q78">
        <v>3.7</v>
      </c>
      <c r="R78">
        <v>8.1999999999999993</v>
      </c>
      <c r="S78" t="s">
        <v>4</v>
      </c>
    </row>
    <row r="79" spans="1:19">
      <c r="A79" t="s">
        <v>263</v>
      </c>
      <c r="B79">
        <v>22</v>
      </c>
      <c r="C79" t="s">
        <v>62</v>
      </c>
      <c r="D79" t="s">
        <v>160</v>
      </c>
      <c r="E79" t="s">
        <v>47</v>
      </c>
      <c r="F79" t="s">
        <v>53</v>
      </c>
      <c r="G79" t="s">
        <v>54</v>
      </c>
      <c r="H79">
        <v>106</v>
      </c>
      <c r="I79" t="s">
        <v>36</v>
      </c>
      <c r="J79" t="s">
        <v>37</v>
      </c>
      <c r="K79">
        <v>4.9000000000000004</v>
      </c>
      <c r="L79" t="s">
        <v>264</v>
      </c>
      <c r="M79">
        <v>20</v>
      </c>
      <c r="N79">
        <v>5.5</v>
      </c>
      <c r="O79">
        <v>4</v>
      </c>
      <c r="P79">
        <v>6</v>
      </c>
      <c r="Q79">
        <v>8.1999999999999993</v>
      </c>
      <c r="R79">
        <v>8.1</v>
      </c>
      <c r="S79" t="s">
        <v>3</v>
      </c>
    </row>
    <row r="80" spans="1:19">
      <c r="A80" t="s">
        <v>265</v>
      </c>
      <c r="B80">
        <v>22</v>
      </c>
      <c r="C80" t="s">
        <v>62</v>
      </c>
      <c r="D80" t="s">
        <v>46</v>
      </c>
      <c r="E80" t="s">
        <v>47</v>
      </c>
      <c r="F80" t="s">
        <v>53</v>
      </c>
      <c r="G80" t="s">
        <v>232</v>
      </c>
      <c r="H80">
        <v>613</v>
      </c>
      <c r="I80" t="s">
        <v>79</v>
      </c>
      <c r="J80" t="s">
        <v>102</v>
      </c>
      <c r="K80">
        <v>1.9</v>
      </c>
      <c r="L80" t="s">
        <v>266</v>
      </c>
      <c r="M80">
        <v>20</v>
      </c>
      <c r="N80">
        <v>5.6</v>
      </c>
      <c r="O80">
        <v>2</v>
      </c>
      <c r="P80">
        <v>4</v>
      </c>
      <c r="Q80">
        <v>8</v>
      </c>
      <c r="R80">
        <v>7.4</v>
      </c>
      <c r="S80" t="s">
        <v>4</v>
      </c>
    </row>
    <row r="81" spans="1:19">
      <c r="A81" t="s">
        <v>267</v>
      </c>
      <c r="B81">
        <v>22</v>
      </c>
      <c r="C81" t="s">
        <v>62</v>
      </c>
      <c r="E81" t="s">
        <v>47</v>
      </c>
      <c r="F81" t="s">
        <v>97</v>
      </c>
      <c r="G81" t="s">
        <v>141</v>
      </c>
      <c r="H81">
        <v>158</v>
      </c>
      <c r="I81" t="s">
        <v>36</v>
      </c>
      <c r="J81" t="s">
        <v>43</v>
      </c>
      <c r="K81">
        <v>1.6</v>
      </c>
      <c r="L81" t="s">
        <v>268</v>
      </c>
      <c r="M81">
        <v>10</v>
      </c>
      <c r="N81">
        <v>3.1</v>
      </c>
      <c r="O81">
        <v>4</v>
      </c>
      <c r="P81">
        <v>6</v>
      </c>
      <c r="Q81">
        <v>5.9</v>
      </c>
      <c r="R81">
        <v>8.4</v>
      </c>
      <c r="S81" t="s">
        <v>6</v>
      </c>
    </row>
    <row r="82" spans="1:19">
      <c r="A82" t="s">
        <v>269</v>
      </c>
      <c r="B82">
        <v>23</v>
      </c>
      <c r="C82" t="s">
        <v>62</v>
      </c>
      <c r="D82" t="s">
        <v>82</v>
      </c>
      <c r="E82" t="s">
        <v>33</v>
      </c>
      <c r="F82" t="s">
        <v>34</v>
      </c>
      <c r="G82" t="s">
        <v>254</v>
      </c>
      <c r="H82">
        <v>334</v>
      </c>
      <c r="I82" t="s">
        <v>36</v>
      </c>
      <c r="J82" t="s">
        <v>71</v>
      </c>
      <c r="K82">
        <v>2.2999999999999998</v>
      </c>
      <c r="L82" t="s">
        <v>270</v>
      </c>
      <c r="M82">
        <v>20</v>
      </c>
      <c r="N82">
        <v>3.9</v>
      </c>
      <c r="O82">
        <v>2</v>
      </c>
      <c r="P82">
        <v>5</v>
      </c>
      <c r="Q82">
        <v>2.5</v>
      </c>
      <c r="R82">
        <v>7.7</v>
      </c>
      <c r="S82" t="s">
        <v>4</v>
      </c>
    </row>
    <row r="83" spans="1:19">
      <c r="A83" t="s">
        <v>271</v>
      </c>
      <c r="B83">
        <v>63</v>
      </c>
      <c r="C83" t="s">
        <v>62</v>
      </c>
      <c r="D83" t="s">
        <v>46</v>
      </c>
      <c r="E83" t="s">
        <v>33</v>
      </c>
      <c r="F83" t="s">
        <v>64</v>
      </c>
      <c r="G83" t="s">
        <v>272</v>
      </c>
      <c r="H83">
        <v>7178</v>
      </c>
      <c r="I83" t="s">
        <v>36</v>
      </c>
      <c r="J83" t="s">
        <v>75</v>
      </c>
      <c r="K83">
        <v>2.2999999999999998</v>
      </c>
      <c r="L83" t="s">
        <v>273</v>
      </c>
      <c r="N83">
        <v>4.8</v>
      </c>
      <c r="O83">
        <v>3</v>
      </c>
      <c r="P83">
        <v>5</v>
      </c>
      <c r="Q83">
        <v>2</v>
      </c>
      <c r="R83">
        <v>5.9</v>
      </c>
      <c r="S83" t="s">
        <v>4</v>
      </c>
    </row>
    <row r="84" spans="1:19">
      <c r="A84" t="s">
        <v>274</v>
      </c>
      <c r="B84">
        <v>31</v>
      </c>
      <c r="C84" t="s">
        <v>40</v>
      </c>
      <c r="D84" t="s">
        <v>96</v>
      </c>
      <c r="E84" t="s">
        <v>33</v>
      </c>
      <c r="F84" t="s">
        <v>149</v>
      </c>
      <c r="G84" t="s">
        <v>275</v>
      </c>
      <c r="H84">
        <v>4815</v>
      </c>
      <c r="I84" t="s">
        <v>93</v>
      </c>
      <c r="J84" t="s">
        <v>37</v>
      </c>
      <c r="K84">
        <v>4.9000000000000004</v>
      </c>
      <c r="L84" t="s">
        <v>276</v>
      </c>
      <c r="M84">
        <v>20</v>
      </c>
      <c r="N84">
        <v>8.6</v>
      </c>
      <c r="O84">
        <v>4</v>
      </c>
      <c r="P84">
        <v>8</v>
      </c>
      <c r="Q84">
        <v>10.7</v>
      </c>
      <c r="R84">
        <v>12.4</v>
      </c>
      <c r="S84" t="s">
        <v>5</v>
      </c>
    </row>
    <row r="85" spans="1:19">
      <c r="A85" t="s">
        <v>277</v>
      </c>
      <c r="B85">
        <v>47</v>
      </c>
      <c r="C85" t="s">
        <v>62</v>
      </c>
      <c r="D85" t="s">
        <v>82</v>
      </c>
      <c r="E85" t="s">
        <v>33</v>
      </c>
      <c r="F85" t="s">
        <v>64</v>
      </c>
      <c r="G85" t="s">
        <v>278</v>
      </c>
      <c r="H85">
        <v>1104</v>
      </c>
      <c r="I85" t="s">
        <v>161</v>
      </c>
      <c r="J85" t="s">
        <v>37</v>
      </c>
      <c r="K85">
        <v>3.4</v>
      </c>
      <c r="L85" t="s">
        <v>279</v>
      </c>
      <c r="M85">
        <v>20</v>
      </c>
      <c r="N85">
        <v>4.9000000000000004</v>
      </c>
      <c r="O85">
        <v>3</v>
      </c>
      <c r="P85">
        <v>5</v>
      </c>
      <c r="Q85">
        <v>7.4</v>
      </c>
      <c r="R85">
        <v>7.3</v>
      </c>
      <c r="S85" t="s">
        <v>4</v>
      </c>
    </row>
    <row r="86" spans="1:19">
      <c r="A86" t="s">
        <v>280</v>
      </c>
      <c r="B86">
        <v>17</v>
      </c>
      <c r="C86" t="s">
        <v>40</v>
      </c>
      <c r="D86" t="s">
        <v>96</v>
      </c>
      <c r="E86" t="s">
        <v>47</v>
      </c>
      <c r="F86" t="s">
        <v>149</v>
      </c>
      <c r="G86" t="s">
        <v>281</v>
      </c>
      <c r="H86">
        <v>518</v>
      </c>
      <c r="J86" t="s">
        <v>102</v>
      </c>
      <c r="K86">
        <v>3.2</v>
      </c>
      <c r="L86" t="s">
        <v>282</v>
      </c>
      <c r="M86">
        <v>20</v>
      </c>
      <c r="N86">
        <v>5.2</v>
      </c>
      <c r="O86">
        <v>4</v>
      </c>
      <c r="P86">
        <v>8</v>
      </c>
      <c r="Q86">
        <v>4.8</v>
      </c>
      <c r="R86">
        <v>20</v>
      </c>
      <c r="S86" t="s">
        <v>6</v>
      </c>
    </row>
    <row r="87" spans="1:19">
      <c r="A87" t="s">
        <v>283</v>
      </c>
      <c r="B87">
        <v>23</v>
      </c>
      <c r="C87" t="s">
        <v>40</v>
      </c>
      <c r="D87" t="s">
        <v>41</v>
      </c>
      <c r="E87" t="s">
        <v>33</v>
      </c>
      <c r="F87" t="s">
        <v>64</v>
      </c>
      <c r="G87" t="s">
        <v>83</v>
      </c>
      <c r="H87">
        <v>965</v>
      </c>
      <c r="I87" t="s">
        <v>161</v>
      </c>
      <c r="J87" t="s">
        <v>75</v>
      </c>
      <c r="K87">
        <v>3.3</v>
      </c>
      <c r="L87" t="s">
        <v>284</v>
      </c>
      <c r="M87">
        <v>0</v>
      </c>
      <c r="N87">
        <v>6.6</v>
      </c>
      <c r="O87">
        <v>4</v>
      </c>
      <c r="P87">
        <v>6</v>
      </c>
      <c r="Q87">
        <v>7.7</v>
      </c>
      <c r="R87">
        <v>9.6</v>
      </c>
      <c r="S87" t="s">
        <v>6</v>
      </c>
    </row>
    <row r="88" spans="1:19">
      <c r="A88" t="s">
        <v>285</v>
      </c>
      <c r="B88">
        <v>17</v>
      </c>
      <c r="C88" t="s">
        <v>62</v>
      </c>
      <c r="E88" t="s">
        <v>47</v>
      </c>
      <c r="F88" t="s">
        <v>53</v>
      </c>
      <c r="G88" t="s">
        <v>286</v>
      </c>
      <c r="H88">
        <v>387</v>
      </c>
      <c r="I88" t="s">
        <v>93</v>
      </c>
      <c r="J88" t="s">
        <v>59</v>
      </c>
      <c r="K88">
        <v>1.5</v>
      </c>
      <c r="L88" t="s">
        <v>287</v>
      </c>
      <c r="M88">
        <v>10</v>
      </c>
      <c r="N88">
        <v>6.2</v>
      </c>
      <c r="O88">
        <v>3</v>
      </c>
      <c r="P88">
        <v>6</v>
      </c>
      <c r="Q88">
        <v>7.5</v>
      </c>
      <c r="S88" t="s">
        <v>4</v>
      </c>
    </row>
    <row r="89" spans="1:19">
      <c r="A89" t="s">
        <v>288</v>
      </c>
      <c r="B89">
        <v>24</v>
      </c>
      <c r="C89" t="s">
        <v>62</v>
      </c>
      <c r="D89" t="s">
        <v>52</v>
      </c>
      <c r="E89" t="s">
        <v>33</v>
      </c>
      <c r="F89" t="s">
        <v>97</v>
      </c>
      <c r="G89" t="s">
        <v>289</v>
      </c>
      <c r="H89">
        <v>1761</v>
      </c>
      <c r="I89" t="s">
        <v>79</v>
      </c>
      <c r="J89" t="s">
        <v>37</v>
      </c>
      <c r="K89">
        <v>0.6</v>
      </c>
      <c r="L89" t="s">
        <v>290</v>
      </c>
      <c r="M89">
        <v>50</v>
      </c>
      <c r="N89">
        <v>3.3</v>
      </c>
      <c r="O89">
        <v>3</v>
      </c>
      <c r="P89">
        <v>5</v>
      </c>
      <c r="Q89">
        <v>4.2</v>
      </c>
      <c r="R89">
        <v>10.5</v>
      </c>
      <c r="S89" t="s">
        <v>6</v>
      </c>
    </row>
    <row r="90" spans="1:19">
      <c r="A90" t="s">
        <v>291</v>
      </c>
      <c r="B90">
        <v>20</v>
      </c>
      <c r="C90" t="s">
        <v>62</v>
      </c>
      <c r="D90" t="s">
        <v>113</v>
      </c>
      <c r="E90" t="s">
        <v>47</v>
      </c>
      <c r="F90" t="s">
        <v>48</v>
      </c>
      <c r="G90" t="s">
        <v>292</v>
      </c>
      <c r="H90">
        <v>0</v>
      </c>
      <c r="I90" t="s">
        <v>36</v>
      </c>
      <c r="J90" t="s">
        <v>43</v>
      </c>
      <c r="K90">
        <v>1.4</v>
      </c>
      <c r="L90" t="s">
        <v>293</v>
      </c>
      <c r="M90">
        <v>0</v>
      </c>
      <c r="N90">
        <v>1.8</v>
      </c>
      <c r="O90">
        <v>3</v>
      </c>
      <c r="P90">
        <v>5</v>
      </c>
      <c r="Q90">
        <v>1.2</v>
      </c>
      <c r="R90">
        <v>5.6</v>
      </c>
      <c r="S90" t="s">
        <v>6</v>
      </c>
    </row>
    <row r="91" spans="1:19">
      <c r="A91" t="s">
        <v>294</v>
      </c>
      <c r="B91">
        <v>16</v>
      </c>
      <c r="C91" t="s">
        <v>40</v>
      </c>
      <c r="D91" t="s">
        <v>113</v>
      </c>
      <c r="E91" t="s">
        <v>47</v>
      </c>
      <c r="F91" t="s">
        <v>97</v>
      </c>
      <c r="G91" t="s">
        <v>134</v>
      </c>
      <c r="H91">
        <v>118</v>
      </c>
      <c r="I91" t="s">
        <v>58</v>
      </c>
      <c r="J91" t="s">
        <v>71</v>
      </c>
      <c r="K91">
        <v>0.7</v>
      </c>
      <c r="L91" t="s">
        <v>295</v>
      </c>
      <c r="M91">
        <v>0</v>
      </c>
      <c r="N91">
        <v>4.5</v>
      </c>
      <c r="O91">
        <v>4</v>
      </c>
      <c r="P91">
        <v>7</v>
      </c>
      <c r="Q91">
        <v>1</v>
      </c>
      <c r="R91">
        <v>5.9</v>
      </c>
      <c r="S91" t="s">
        <v>6</v>
      </c>
    </row>
    <row r="92" spans="1:19">
      <c r="A92" t="s">
        <v>296</v>
      </c>
      <c r="B92">
        <v>21</v>
      </c>
      <c r="C92" t="s">
        <v>62</v>
      </c>
      <c r="D92" t="s">
        <v>96</v>
      </c>
      <c r="E92" t="s">
        <v>47</v>
      </c>
      <c r="F92" t="s">
        <v>97</v>
      </c>
      <c r="G92" t="s">
        <v>74</v>
      </c>
      <c r="H92">
        <v>0</v>
      </c>
      <c r="I92" t="s">
        <v>66</v>
      </c>
      <c r="J92" t="s">
        <v>75</v>
      </c>
      <c r="K92">
        <v>2.9</v>
      </c>
      <c r="L92" t="s">
        <v>297</v>
      </c>
      <c r="M92">
        <v>10</v>
      </c>
      <c r="N92">
        <v>5.7</v>
      </c>
      <c r="O92">
        <v>2</v>
      </c>
      <c r="P92">
        <v>4</v>
      </c>
      <c r="Q92">
        <v>6.6</v>
      </c>
      <c r="R92">
        <v>6.4</v>
      </c>
      <c r="S92" t="s">
        <v>4</v>
      </c>
    </row>
    <row r="93" spans="1:19">
      <c r="A93" t="s">
        <v>298</v>
      </c>
      <c r="B93">
        <v>22</v>
      </c>
      <c r="C93" t="s">
        <v>62</v>
      </c>
      <c r="D93" t="s">
        <v>41</v>
      </c>
      <c r="E93" t="s">
        <v>47</v>
      </c>
      <c r="F93" t="s">
        <v>64</v>
      </c>
      <c r="G93" t="s">
        <v>141</v>
      </c>
      <c r="H93">
        <v>113</v>
      </c>
      <c r="I93" t="s">
        <v>87</v>
      </c>
      <c r="J93" t="s">
        <v>37</v>
      </c>
      <c r="K93">
        <v>1</v>
      </c>
      <c r="L93" t="s">
        <v>299</v>
      </c>
      <c r="M93">
        <v>0</v>
      </c>
      <c r="N93">
        <v>3.2</v>
      </c>
      <c r="O93">
        <v>3</v>
      </c>
      <c r="P93">
        <v>3</v>
      </c>
      <c r="Q93">
        <v>4.2</v>
      </c>
      <c r="R93">
        <v>6.5</v>
      </c>
      <c r="S93" t="s">
        <v>4</v>
      </c>
    </row>
    <row r="94" spans="1:19">
      <c r="A94" t="s">
        <v>300</v>
      </c>
      <c r="B94">
        <v>23</v>
      </c>
      <c r="C94" t="s">
        <v>62</v>
      </c>
      <c r="D94" t="s">
        <v>113</v>
      </c>
      <c r="E94" t="s">
        <v>47</v>
      </c>
      <c r="F94" t="s">
        <v>53</v>
      </c>
      <c r="G94" t="s">
        <v>141</v>
      </c>
      <c r="H94">
        <v>221</v>
      </c>
      <c r="I94" t="s">
        <v>255</v>
      </c>
      <c r="J94" t="s">
        <v>43</v>
      </c>
      <c r="K94">
        <v>1.3</v>
      </c>
      <c r="L94" t="s">
        <v>301</v>
      </c>
      <c r="M94">
        <v>25</v>
      </c>
      <c r="N94">
        <v>4.5</v>
      </c>
      <c r="O94">
        <v>2</v>
      </c>
      <c r="P94">
        <v>4</v>
      </c>
      <c r="Q94">
        <v>3.8</v>
      </c>
      <c r="R94">
        <v>6.3</v>
      </c>
      <c r="S94" t="s">
        <v>4</v>
      </c>
    </row>
    <row r="95" spans="1:19">
      <c r="A95" t="s">
        <v>302</v>
      </c>
      <c r="B95">
        <v>43</v>
      </c>
      <c r="C95" t="s">
        <v>62</v>
      </c>
      <c r="D95" t="s">
        <v>82</v>
      </c>
      <c r="E95" t="s">
        <v>33</v>
      </c>
      <c r="F95" t="s">
        <v>34</v>
      </c>
      <c r="G95" t="s">
        <v>303</v>
      </c>
      <c r="I95" t="s">
        <v>36</v>
      </c>
      <c r="J95" t="s">
        <v>59</v>
      </c>
      <c r="K95">
        <v>1.2</v>
      </c>
      <c r="L95" t="s">
        <v>304</v>
      </c>
      <c r="M95">
        <v>0</v>
      </c>
      <c r="N95">
        <v>4.7</v>
      </c>
      <c r="O95">
        <v>3</v>
      </c>
      <c r="Q95">
        <v>1</v>
      </c>
      <c r="R95">
        <v>10.9</v>
      </c>
      <c r="S95" t="s">
        <v>4</v>
      </c>
    </row>
    <row r="96" spans="1:19">
      <c r="A96" t="s">
        <v>305</v>
      </c>
      <c r="B96">
        <v>43</v>
      </c>
      <c r="C96" t="s">
        <v>40</v>
      </c>
      <c r="D96" t="s">
        <v>41</v>
      </c>
      <c r="E96" t="s">
        <v>33</v>
      </c>
      <c r="F96" t="s">
        <v>48</v>
      </c>
      <c r="G96" t="s">
        <v>306</v>
      </c>
      <c r="H96">
        <v>730</v>
      </c>
      <c r="I96" t="s">
        <v>36</v>
      </c>
      <c r="J96" t="s">
        <v>75</v>
      </c>
      <c r="K96">
        <v>1.6</v>
      </c>
      <c r="L96" t="s">
        <v>307</v>
      </c>
      <c r="M96">
        <v>20</v>
      </c>
      <c r="N96">
        <v>5.0999999999999996</v>
      </c>
      <c r="O96">
        <v>4</v>
      </c>
      <c r="P96">
        <v>5</v>
      </c>
      <c r="Q96">
        <v>4.7</v>
      </c>
      <c r="R96">
        <v>9.6999999999999993</v>
      </c>
      <c r="S96" t="s">
        <v>3</v>
      </c>
    </row>
    <row r="97" spans="1:19">
      <c r="A97" t="s">
        <v>308</v>
      </c>
      <c r="B97">
        <v>17</v>
      </c>
      <c r="C97" t="s">
        <v>62</v>
      </c>
      <c r="D97" t="s">
        <v>113</v>
      </c>
      <c r="E97" t="s">
        <v>47</v>
      </c>
      <c r="F97" t="s">
        <v>97</v>
      </c>
      <c r="G97" t="s">
        <v>134</v>
      </c>
      <c r="H97">
        <v>884</v>
      </c>
      <c r="J97" t="s">
        <v>71</v>
      </c>
      <c r="K97">
        <v>7</v>
      </c>
      <c r="M97">
        <v>20</v>
      </c>
      <c r="N97">
        <v>9.6999999999999993</v>
      </c>
      <c r="O97">
        <v>4</v>
      </c>
      <c r="P97">
        <v>10</v>
      </c>
      <c r="Q97">
        <v>12.8</v>
      </c>
      <c r="R97">
        <v>5.8</v>
      </c>
      <c r="S97" t="s">
        <v>6</v>
      </c>
    </row>
    <row r="98" spans="1:19">
      <c r="A98" t="s">
        <v>309</v>
      </c>
      <c r="B98">
        <v>32</v>
      </c>
      <c r="C98" t="s">
        <v>40</v>
      </c>
      <c r="D98" t="s">
        <v>46</v>
      </c>
      <c r="E98" t="s">
        <v>47</v>
      </c>
      <c r="F98" t="s">
        <v>48</v>
      </c>
      <c r="G98" t="s">
        <v>120</v>
      </c>
      <c r="H98">
        <v>524</v>
      </c>
      <c r="I98" t="s">
        <v>36</v>
      </c>
      <c r="J98" t="s">
        <v>75</v>
      </c>
      <c r="K98">
        <v>7.2</v>
      </c>
      <c r="L98" t="s">
        <v>310</v>
      </c>
      <c r="M98">
        <v>100</v>
      </c>
      <c r="N98">
        <v>9.4</v>
      </c>
      <c r="O98">
        <v>3</v>
      </c>
      <c r="P98">
        <v>8</v>
      </c>
      <c r="Q98">
        <v>11.7</v>
      </c>
      <c r="R98">
        <v>6.5</v>
      </c>
      <c r="S98" t="s">
        <v>6</v>
      </c>
    </row>
    <row r="99" spans="1:19">
      <c r="A99" t="s">
        <v>311</v>
      </c>
      <c r="B99">
        <v>23</v>
      </c>
      <c r="C99" t="s">
        <v>40</v>
      </c>
      <c r="D99" t="s">
        <v>123</v>
      </c>
      <c r="E99" t="s">
        <v>47</v>
      </c>
      <c r="F99" t="s">
        <v>64</v>
      </c>
      <c r="G99" t="s">
        <v>141</v>
      </c>
      <c r="H99">
        <v>312</v>
      </c>
      <c r="I99" t="s">
        <v>93</v>
      </c>
      <c r="J99" t="s">
        <v>43</v>
      </c>
      <c r="K99">
        <v>0.7</v>
      </c>
      <c r="L99" t="s">
        <v>312</v>
      </c>
      <c r="M99">
        <v>0</v>
      </c>
      <c r="N99">
        <v>5.0999999999999996</v>
      </c>
      <c r="O99">
        <v>4</v>
      </c>
      <c r="P99">
        <v>6</v>
      </c>
      <c r="Q99">
        <v>4.8</v>
      </c>
      <c r="R99">
        <v>4.0999999999999996</v>
      </c>
      <c r="S99" t="s">
        <v>4</v>
      </c>
    </row>
    <row r="100" spans="1:19">
      <c r="A100" t="s">
        <v>313</v>
      </c>
      <c r="B100">
        <v>27</v>
      </c>
      <c r="C100" t="s">
        <v>62</v>
      </c>
      <c r="D100" t="s">
        <v>46</v>
      </c>
      <c r="E100" t="s">
        <v>47</v>
      </c>
      <c r="F100" t="s">
        <v>53</v>
      </c>
      <c r="G100" t="s">
        <v>232</v>
      </c>
      <c r="H100">
        <v>578</v>
      </c>
      <c r="I100" t="s">
        <v>36</v>
      </c>
      <c r="J100" t="s">
        <v>102</v>
      </c>
      <c r="K100">
        <v>4</v>
      </c>
      <c r="L100" t="s">
        <v>314</v>
      </c>
      <c r="M100">
        <v>0</v>
      </c>
      <c r="N100">
        <v>7.5</v>
      </c>
      <c r="O100">
        <v>3</v>
      </c>
      <c r="P100">
        <v>8</v>
      </c>
      <c r="Q100">
        <v>7.9</v>
      </c>
      <c r="R100">
        <v>5.3</v>
      </c>
      <c r="S100" t="s">
        <v>6</v>
      </c>
    </row>
    <row r="101" spans="1:19">
      <c r="A101" t="s">
        <v>315</v>
      </c>
      <c r="B101">
        <v>20</v>
      </c>
      <c r="C101" t="s">
        <v>31</v>
      </c>
      <c r="D101" t="s">
        <v>113</v>
      </c>
      <c r="E101" t="s">
        <v>47</v>
      </c>
      <c r="G101" t="s">
        <v>49</v>
      </c>
      <c r="H101">
        <v>698</v>
      </c>
      <c r="I101" t="s">
        <v>79</v>
      </c>
      <c r="J101" t="s">
        <v>71</v>
      </c>
      <c r="K101">
        <v>1.2</v>
      </c>
      <c r="L101" t="s">
        <v>316</v>
      </c>
      <c r="M101">
        <v>0</v>
      </c>
      <c r="N101">
        <v>3.7</v>
      </c>
      <c r="O101">
        <v>3</v>
      </c>
      <c r="P101">
        <v>4</v>
      </c>
      <c r="Q101">
        <v>1.7</v>
      </c>
      <c r="R101">
        <v>4.7</v>
      </c>
      <c r="S101" t="s">
        <v>4</v>
      </c>
    </row>
    <row r="102" spans="1:19">
      <c r="A102" t="s">
        <v>317</v>
      </c>
      <c r="B102">
        <v>21</v>
      </c>
      <c r="C102" t="s">
        <v>62</v>
      </c>
      <c r="D102" t="s">
        <v>113</v>
      </c>
      <c r="E102" t="s">
        <v>47</v>
      </c>
      <c r="F102" t="s">
        <v>53</v>
      </c>
      <c r="G102" t="s">
        <v>108</v>
      </c>
      <c r="H102">
        <v>98</v>
      </c>
      <c r="I102" t="s">
        <v>93</v>
      </c>
      <c r="K102">
        <v>4.0999999999999996</v>
      </c>
      <c r="L102" t="s">
        <v>318</v>
      </c>
      <c r="M102">
        <v>0</v>
      </c>
      <c r="N102">
        <v>6.2</v>
      </c>
      <c r="O102">
        <v>4</v>
      </c>
      <c r="P102">
        <v>7</v>
      </c>
      <c r="Q102">
        <v>4.3</v>
      </c>
      <c r="R102">
        <v>4.5999999999999996</v>
      </c>
      <c r="S102" t="s">
        <v>6</v>
      </c>
    </row>
    <row r="103" spans="1:19">
      <c r="A103" t="s">
        <v>319</v>
      </c>
      <c r="B103">
        <v>18</v>
      </c>
      <c r="C103" t="s">
        <v>62</v>
      </c>
      <c r="D103" t="s">
        <v>160</v>
      </c>
      <c r="E103" t="s">
        <v>47</v>
      </c>
      <c r="F103" t="s">
        <v>53</v>
      </c>
      <c r="G103" t="s">
        <v>54</v>
      </c>
      <c r="H103">
        <v>0</v>
      </c>
      <c r="I103" t="s">
        <v>79</v>
      </c>
      <c r="J103" t="s">
        <v>102</v>
      </c>
      <c r="K103">
        <v>1.6</v>
      </c>
      <c r="M103">
        <v>0</v>
      </c>
      <c r="N103">
        <v>3.3</v>
      </c>
      <c r="O103">
        <v>4</v>
      </c>
      <c r="P103">
        <v>5</v>
      </c>
      <c r="Q103">
        <v>4.3</v>
      </c>
      <c r="R103">
        <v>3.2</v>
      </c>
      <c r="S103" t="s">
        <v>6</v>
      </c>
    </row>
    <row r="104" spans="1:19">
      <c r="A104" t="s">
        <v>320</v>
      </c>
      <c r="B104">
        <v>41</v>
      </c>
      <c r="C104" t="s">
        <v>62</v>
      </c>
      <c r="D104" t="s">
        <v>52</v>
      </c>
      <c r="E104" t="s">
        <v>33</v>
      </c>
      <c r="F104" t="s">
        <v>34</v>
      </c>
      <c r="H104">
        <v>627</v>
      </c>
      <c r="I104" t="s">
        <v>161</v>
      </c>
      <c r="J104" t="s">
        <v>88</v>
      </c>
      <c r="K104">
        <v>0.7</v>
      </c>
      <c r="L104" t="s">
        <v>321</v>
      </c>
      <c r="M104">
        <v>0</v>
      </c>
      <c r="N104">
        <v>2.2999999999999998</v>
      </c>
      <c r="O104">
        <v>4</v>
      </c>
      <c r="P104">
        <v>5</v>
      </c>
      <c r="Q104">
        <v>3</v>
      </c>
      <c r="R104">
        <v>6.9</v>
      </c>
      <c r="S104" t="s">
        <v>6</v>
      </c>
    </row>
    <row r="105" spans="1:19">
      <c r="A105" t="s">
        <v>322</v>
      </c>
      <c r="B105">
        <v>26</v>
      </c>
      <c r="C105" t="s">
        <v>62</v>
      </c>
      <c r="D105" t="s">
        <v>41</v>
      </c>
      <c r="E105" t="s">
        <v>47</v>
      </c>
      <c r="G105" t="s">
        <v>232</v>
      </c>
      <c r="H105">
        <v>54</v>
      </c>
      <c r="I105" t="s">
        <v>36</v>
      </c>
      <c r="J105" t="s">
        <v>71</v>
      </c>
      <c r="K105">
        <v>2.7</v>
      </c>
      <c r="L105" t="s">
        <v>323</v>
      </c>
      <c r="M105">
        <v>20</v>
      </c>
      <c r="O105">
        <v>3</v>
      </c>
      <c r="P105">
        <v>5</v>
      </c>
      <c r="Q105">
        <v>5</v>
      </c>
      <c r="R105">
        <v>6.9</v>
      </c>
      <c r="S105" t="s">
        <v>3</v>
      </c>
    </row>
    <row r="106" spans="1:19">
      <c r="A106" t="s">
        <v>324</v>
      </c>
      <c r="B106">
        <v>19</v>
      </c>
      <c r="C106" t="s">
        <v>62</v>
      </c>
      <c r="D106" t="s">
        <v>113</v>
      </c>
      <c r="E106" t="s">
        <v>47</v>
      </c>
      <c r="F106" t="s">
        <v>64</v>
      </c>
      <c r="G106" t="s">
        <v>105</v>
      </c>
      <c r="H106">
        <v>135</v>
      </c>
      <c r="I106" t="s">
        <v>66</v>
      </c>
      <c r="J106" t="s">
        <v>102</v>
      </c>
      <c r="K106">
        <v>3.9</v>
      </c>
      <c r="M106">
        <v>0</v>
      </c>
      <c r="N106">
        <v>5.2</v>
      </c>
      <c r="O106">
        <v>4</v>
      </c>
      <c r="P106">
        <v>7</v>
      </c>
      <c r="Q106">
        <v>9.8000000000000007</v>
      </c>
      <c r="R106">
        <v>5.0999999999999996</v>
      </c>
      <c r="S106" t="s">
        <v>6</v>
      </c>
    </row>
    <row r="107" spans="1:19">
      <c r="A107" t="s">
        <v>325</v>
      </c>
      <c r="B107">
        <v>48</v>
      </c>
      <c r="C107" t="s">
        <v>40</v>
      </c>
      <c r="D107" t="s">
        <v>123</v>
      </c>
      <c r="E107" t="s">
        <v>33</v>
      </c>
      <c r="F107" t="s">
        <v>64</v>
      </c>
      <c r="G107" t="s">
        <v>326</v>
      </c>
      <c r="H107">
        <v>5563</v>
      </c>
      <c r="I107" t="s">
        <v>36</v>
      </c>
      <c r="J107" t="s">
        <v>88</v>
      </c>
      <c r="K107">
        <v>0.9</v>
      </c>
      <c r="L107" t="s">
        <v>327</v>
      </c>
      <c r="M107">
        <v>25</v>
      </c>
      <c r="N107">
        <v>4.0999999999999996</v>
      </c>
      <c r="O107">
        <v>5</v>
      </c>
      <c r="P107">
        <v>6</v>
      </c>
      <c r="Q107">
        <v>3.9</v>
      </c>
      <c r="R107">
        <v>5.9</v>
      </c>
      <c r="S107" t="s">
        <v>4</v>
      </c>
    </row>
    <row r="108" spans="1:19">
      <c r="A108" t="s">
        <v>328</v>
      </c>
      <c r="B108">
        <v>33</v>
      </c>
      <c r="C108" t="s">
        <v>62</v>
      </c>
      <c r="D108" t="s">
        <v>123</v>
      </c>
      <c r="E108" t="s">
        <v>33</v>
      </c>
      <c r="F108" t="s">
        <v>149</v>
      </c>
      <c r="G108" t="s">
        <v>329</v>
      </c>
      <c r="H108">
        <v>8205</v>
      </c>
      <c r="I108" t="s">
        <v>36</v>
      </c>
      <c r="J108" t="s">
        <v>43</v>
      </c>
      <c r="K108">
        <v>1.5</v>
      </c>
      <c r="L108" t="s">
        <v>330</v>
      </c>
      <c r="M108">
        <v>10</v>
      </c>
      <c r="N108">
        <v>5</v>
      </c>
      <c r="O108">
        <v>4</v>
      </c>
      <c r="P108">
        <v>7</v>
      </c>
      <c r="Q108">
        <v>1.8</v>
      </c>
      <c r="R108">
        <v>8.4</v>
      </c>
      <c r="S108" t="s">
        <v>6</v>
      </c>
    </row>
    <row r="109" spans="1:19">
      <c r="A109" t="s">
        <v>331</v>
      </c>
      <c r="B109">
        <v>29</v>
      </c>
      <c r="C109" t="s">
        <v>40</v>
      </c>
      <c r="D109" t="s">
        <v>52</v>
      </c>
      <c r="E109" t="s">
        <v>33</v>
      </c>
      <c r="F109" t="s">
        <v>48</v>
      </c>
      <c r="G109" t="s">
        <v>332</v>
      </c>
      <c r="H109">
        <v>2090</v>
      </c>
      <c r="I109" t="s">
        <v>36</v>
      </c>
      <c r="J109" t="s">
        <v>59</v>
      </c>
      <c r="K109">
        <v>1.3</v>
      </c>
      <c r="L109" t="s">
        <v>333</v>
      </c>
      <c r="M109">
        <v>0</v>
      </c>
      <c r="N109">
        <v>4.3</v>
      </c>
      <c r="O109">
        <v>3</v>
      </c>
      <c r="P109">
        <v>7</v>
      </c>
      <c r="Q109">
        <v>2.6</v>
      </c>
      <c r="R109">
        <v>9.9</v>
      </c>
      <c r="S109" t="s">
        <v>6</v>
      </c>
    </row>
    <row r="110" spans="1:19">
      <c r="A110" t="s">
        <v>334</v>
      </c>
      <c r="B110">
        <v>17</v>
      </c>
      <c r="C110" t="s">
        <v>40</v>
      </c>
      <c r="D110" t="s">
        <v>96</v>
      </c>
      <c r="E110" t="s">
        <v>47</v>
      </c>
      <c r="F110" t="s">
        <v>97</v>
      </c>
      <c r="G110" t="s">
        <v>141</v>
      </c>
      <c r="H110">
        <v>595</v>
      </c>
      <c r="I110" t="s">
        <v>36</v>
      </c>
      <c r="J110" t="s">
        <v>43</v>
      </c>
      <c r="K110">
        <v>8</v>
      </c>
      <c r="L110" t="s">
        <v>335</v>
      </c>
      <c r="M110">
        <v>0</v>
      </c>
      <c r="N110">
        <v>7.4</v>
      </c>
      <c r="O110">
        <v>3</v>
      </c>
      <c r="P110">
        <v>7</v>
      </c>
      <c r="Q110">
        <v>15.8</v>
      </c>
      <c r="R110">
        <v>6.1</v>
      </c>
      <c r="S110" t="s">
        <v>6</v>
      </c>
    </row>
    <row r="111" spans="1:19">
      <c r="A111" t="s">
        <v>336</v>
      </c>
      <c r="B111">
        <v>39</v>
      </c>
      <c r="C111" t="s">
        <v>62</v>
      </c>
      <c r="D111" t="s">
        <v>52</v>
      </c>
      <c r="E111" t="s">
        <v>33</v>
      </c>
      <c r="F111" t="s">
        <v>34</v>
      </c>
      <c r="G111" t="s">
        <v>337</v>
      </c>
      <c r="H111">
        <v>483</v>
      </c>
      <c r="I111" t="s">
        <v>255</v>
      </c>
      <c r="J111" t="s">
        <v>88</v>
      </c>
      <c r="K111">
        <v>0.6</v>
      </c>
      <c r="L111" t="s">
        <v>338</v>
      </c>
      <c r="M111">
        <v>25</v>
      </c>
      <c r="N111">
        <v>4.9000000000000004</v>
      </c>
      <c r="O111">
        <v>4</v>
      </c>
      <c r="P111">
        <v>6</v>
      </c>
      <c r="Q111">
        <v>4</v>
      </c>
      <c r="R111">
        <v>7.1</v>
      </c>
      <c r="S111" t="s">
        <v>6</v>
      </c>
    </row>
    <row r="112" spans="1:19">
      <c r="A112" t="s">
        <v>339</v>
      </c>
      <c r="B112">
        <v>47</v>
      </c>
      <c r="C112" t="s">
        <v>62</v>
      </c>
      <c r="D112" t="s">
        <v>96</v>
      </c>
      <c r="E112" t="s">
        <v>33</v>
      </c>
      <c r="F112" t="s">
        <v>64</v>
      </c>
      <c r="G112" t="s">
        <v>242</v>
      </c>
      <c r="H112">
        <v>2688</v>
      </c>
      <c r="I112" t="s">
        <v>58</v>
      </c>
      <c r="J112" t="s">
        <v>75</v>
      </c>
      <c r="K112">
        <v>0.9</v>
      </c>
      <c r="L112" t="s">
        <v>340</v>
      </c>
      <c r="M112">
        <v>10</v>
      </c>
      <c r="N112">
        <v>3.9</v>
      </c>
      <c r="O112">
        <v>3</v>
      </c>
      <c r="P112">
        <v>5</v>
      </c>
      <c r="Q112">
        <v>1.5</v>
      </c>
      <c r="R112">
        <v>9.1</v>
      </c>
      <c r="S112" t="s">
        <v>4</v>
      </c>
    </row>
    <row r="113" spans="1:19">
      <c r="A113" t="s">
        <v>341</v>
      </c>
      <c r="B113">
        <v>32</v>
      </c>
      <c r="C113" t="s">
        <v>40</v>
      </c>
      <c r="D113" t="s">
        <v>96</v>
      </c>
      <c r="E113" t="s">
        <v>47</v>
      </c>
      <c r="F113" t="s">
        <v>53</v>
      </c>
      <c r="G113" t="s">
        <v>74</v>
      </c>
      <c r="H113">
        <v>553</v>
      </c>
      <c r="I113" t="s">
        <v>87</v>
      </c>
      <c r="J113" t="s">
        <v>75</v>
      </c>
      <c r="K113">
        <v>1.5</v>
      </c>
      <c r="L113" t="s">
        <v>342</v>
      </c>
      <c r="M113">
        <v>25</v>
      </c>
      <c r="N113">
        <v>3.6</v>
      </c>
      <c r="O113">
        <v>4</v>
      </c>
      <c r="P113">
        <v>6</v>
      </c>
      <c r="Q113">
        <v>5.5</v>
      </c>
      <c r="R113">
        <v>5.9</v>
      </c>
      <c r="S113" t="s">
        <v>3</v>
      </c>
    </row>
    <row r="114" spans="1:19">
      <c r="A114" t="s">
        <v>343</v>
      </c>
      <c r="B114">
        <v>25</v>
      </c>
      <c r="C114" t="s">
        <v>40</v>
      </c>
      <c r="D114" t="s">
        <v>69</v>
      </c>
      <c r="E114" t="s">
        <v>33</v>
      </c>
      <c r="F114" t="s">
        <v>48</v>
      </c>
      <c r="G114" t="s">
        <v>344</v>
      </c>
      <c r="H114">
        <v>6851</v>
      </c>
      <c r="I114" t="s">
        <v>79</v>
      </c>
      <c r="J114" t="s">
        <v>43</v>
      </c>
      <c r="K114">
        <v>4.0999999999999996</v>
      </c>
      <c r="L114" t="s">
        <v>345</v>
      </c>
      <c r="M114">
        <v>0</v>
      </c>
      <c r="N114">
        <v>6</v>
      </c>
      <c r="O114">
        <v>4</v>
      </c>
      <c r="P114">
        <v>7</v>
      </c>
      <c r="Q114">
        <v>7.2</v>
      </c>
      <c r="S114" t="s">
        <v>6</v>
      </c>
    </row>
    <row r="115" spans="1:19">
      <c r="A115" t="s">
        <v>346</v>
      </c>
      <c r="B115">
        <v>30</v>
      </c>
      <c r="C115" t="s">
        <v>40</v>
      </c>
      <c r="D115" t="s">
        <v>46</v>
      </c>
      <c r="E115" t="s">
        <v>33</v>
      </c>
      <c r="F115" t="s">
        <v>64</v>
      </c>
      <c r="G115" t="s">
        <v>126</v>
      </c>
      <c r="H115">
        <v>3307</v>
      </c>
      <c r="I115" t="s">
        <v>36</v>
      </c>
      <c r="J115" t="s">
        <v>43</v>
      </c>
      <c r="K115">
        <v>0.8</v>
      </c>
      <c r="L115" t="s">
        <v>347</v>
      </c>
      <c r="M115">
        <v>10</v>
      </c>
      <c r="N115">
        <v>2.2999999999999998</v>
      </c>
      <c r="O115">
        <v>4</v>
      </c>
      <c r="P115">
        <v>4</v>
      </c>
      <c r="Q115">
        <v>0.5</v>
      </c>
      <c r="R115">
        <v>8</v>
      </c>
      <c r="S115" t="s">
        <v>4</v>
      </c>
    </row>
    <row r="116" spans="1:19">
      <c r="A116" t="s">
        <v>348</v>
      </c>
      <c r="B116">
        <v>55</v>
      </c>
      <c r="C116" t="s">
        <v>62</v>
      </c>
      <c r="D116" t="s">
        <v>113</v>
      </c>
      <c r="E116" t="s">
        <v>33</v>
      </c>
      <c r="F116" t="s">
        <v>64</v>
      </c>
      <c r="G116" t="s">
        <v>349</v>
      </c>
      <c r="H116">
        <v>4070</v>
      </c>
      <c r="I116" t="s">
        <v>66</v>
      </c>
      <c r="J116" t="s">
        <v>138</v>
      </c>
      <c r="K116">
        <v>2.7</v>
      </c>
      <c r="L116" t="s">
        <v>350</v>
      </c>
      <c r="M116">
        <v>20</v>
      </c>
      <c r="N116">
        <v>6.8</v>
      </c>
      <c r="O116">
        <v>4</v>
      </c>
      <c r="P116">
        <v>7</v>
      </c>
      <c r="R116">
        <v>10.7</v>
      </c>
      <c r="S116" t="s">
        <v>6</v>
      </c>
    </row>
    <row r="117" spans="1:19">
      <c r="A117" t="s">
        <v>351</v>
      </c>
      <c r="B117">
        <v>20</v>
      </c>
      <c r="C117" t="s">
        <v>62</v>
      </c>
      <c r="D117" t="s">
        <v>52</v>
      </c>
      <c r="E117" t="s">
        <v>47</v>
      </c>
      <c r="F117" t="s">
        <v>53</v>
      </c>
      <c r="G117" t="s">
        <v>352</v>
      </c>
      <c r="H117">
        <v>79</v>
      </c>
      <c r="I117" t="s">
        <v>79</v>
      </c>
      <c r="J117" t="s">
        <v>59</v>
      </c>
      <c r="K117">
        <v>3.5</v>
      </c>
      <c r="L117" t="s">
        <v>353</v>
      </c>
      <c r="M117">
        <v>20</v>
      </c>
      <c r="N117">
        <v>4.7</v>
      </c>
      <c r="O117">
        <v>4</v>
      </c>
      <c r="P117">
        <v>7</v>
      </c>
      <c r="Q117">
        <v>8.3000000000000007</v>
      </c>
      <c r="R117">
        <v>6.2</v>
      </c>
      <c r="S117" t="s">
        <v>6</v>
      </c>
    </row>
    <row r="118" spans="1:19">
      <c r="A118" t="s">
        <v>354</v>
      </c>
      <c r="B118">
        <v>23</v>
      </c>
      <c r="C118" t="s">
        <v>40</v>
      </c>
      <c r="D118" t="s">
        <v>52</v>
      </c>
      <c r="E118" t="s">
        <v>47</v>
      </c>
      <c r="F118" t="s">
        <v>53</v>
      </c>
      <c r="G118" t="s">
        <v>355</v>
      </c>
      <c r="H118">
        <v>219</v>
      </c>
      <c r="I118" t="s">
        <v>161</v>
      </c>
      <c r="J118" t="s">
        <v>102</v>
      </c>
      <c r="K118">
        <v>1.4</v>
      </c>
      <c r="L118" t="s">
        <v>356</v>
      </c>
      <c r="M118">
        <v>0</v>
      </c>
      <c r="N118">
        <v>4.8</v>
      </c>
      <c r="O118">
        <v>4</v>
      </c>
      <c r="P118">
        <v>6</v>
      </c>
      <c r="Q118">
        <v>3.6</v>
      </c>
      <c r="R118">
        <v>6.1</v>
      </c>
      <c r="S118" t="s">
        <v>6</v>
      </c>
    </row>
    <row r="119" spans="1:19">
      <c r="A119" t="s">
        <v>357</v>
      </c>
      <c r="B119">
        <v>44</v>
      </c>
      <c r="C119" t="s">
        <v>31</v>
      </c>
      <c r="D119" t="s">
        <v>91</v>
      </c>
      <c r="E119" t="s">
        <v>33</v>
      </c>
      <c r="F119" t="s">
        <v>64</v>
      </c>
      <c r="G119" t="s">
        <v>358</v>
      </c>
      <c r="H119">
        <v>3477</v>
      </c>
      <c r="I119" t="s">
        <v>36</v>
      </c>
      <c r="J119" t="s">
        <v>59</v>
      </c>
      <c r="K119">
        <v>2.2000000000000002</v>
      </c>
      <c r="L119" t="s">
        <v>359</v>
      </c>
      <c r="M119">
        <v>0</v>
      </c>
      <c r="N119">
        <v>5</v>
      </c>
      <c r="O119">
        <v>4</v>
      </c>
      <c r="Q119">
        <v>2.8</v>
      </c>
      <c r="R119">
        <v>10.7</v>
      </c>
      <c r="S119" t="s">
        <v>6</v>
      </c>
    </row>
    <row r="120" spans="1:19">
      <c r="A120" t="s">
        <v>360</v>
      </c>
      <c r="B120">
        <v>29</v>
      </c>
      <c r="C120" t="s">
        <v>31</v>
      </c>
      <c r="D120" t="s">
        <v>160</v>
      </c>
      <c r="E120" t="s">
        <v>33</v>
      </c>
      <c r="F120" t="s">
        <v>64</v>
      </c>
      <c r="G120" t="s">
        <v>278</v>
      </c>
      <c r="H120">
        <v>765</v>
      </c>
      <c r="I120" t="s">
        <v>93</v>
      </c>
      <c r="J120" t="s">
        <v>37</v>
      </c>
      <c r="K120">
        <v>2.8</v>
      </c>
      <c r="L120" t="s">
        <v>361</v>
      </c>
      <c r="M120">
        <v>0</v>
      </c>
      <c r="N120">
        <v>6.6</v>
      </c>
      <c r="O120">
        <v>4</v>
      </c>
      <c r="P120">
        <v>9</v>
      </c>
      <c r="Q120">
        <v>9.4</v>
      </c>
      <c r="R120">
        <v>11.3</v>
      </c>
      <c r="S120" t="s">
        <v>6</v>
      </c>
    </row>
    <row r="121" spans="1:19">
      <c r="A121" t="s">
        <v>362</v>
      </c>
      <c r="B121">
        <v>31</v>
      </c>
      <c r="C121" t="s">
        <v>62</v>
      </c>
      <c r="D121" t="s">
        <v>52</v>
      </c>
      <c r="E121" t="s">
        <v>47</v>
      </c>
      <c r="F121" t="s">
        <v>53</v>
      </c>
      <c r="G121" t="s">
        <v>363</v>
      </c>
      <c r="H121">
        <v>157</v>
      </c>
      <c r="I121" t="s">
        <v>36</v>
      </c>
      <c r="J121" t="s">
        <v>102</v>
      </c>
      <c r="K121">
        <v>0.9</v>
      </c>
      <c r="L121" t="s">
        <v>364</v>
      </c>
      <c r="M121">
        <v>25</v>
      </c>
      <c r="N121">
        <v>3.7</v>
      </c>
      <c r="O121">
        <v>4</v>
      </c>
      <c r="P121">
        <v>6</v>
      </c>
      <c r="Q121">
        <v>0</v>
      </c>
      <c r="R121">
        <v>6.4</v>
      </c>
      <c r="S121" t="s">
        <v>5</v>
      </c>
    </row>
    <row r="122" spans="1:19">
      <c r="A122" t="s">
        <v>365</v>
      </c>
      <c r="B122">
        <v>24</v>
      </c>
      <c r="C122" t="s">
        <v>40</v>
      </c>
      <c r="D122" t="s">
        <v>46</v>
      </c>
      <c r="E122" t="s">
        <v>47</v>
      </c>
      <c r="F122" t="s">
        <v>53</v>
      </c>
      <c r="G122" t="s">
        <v>366</v>
      </c>
      <c r="H122">
        <v>435</v>
      </c>
      <c r="I122" t="s">
        <v>66</v>
      </c>
      <c r="J122" t="s">
        <v>102</v>
      </c>
      <c r="K122">
        <v>3.4</v>
      </c>
      <c r="L122" t="s">
        <v>367</v>
      </c>
      <c r="M122">
        <v>10</v>
      </c>
      <c r="N122">
        <v>5.5</v>
      </c>
      <c r="P122">
        <v>6</v>
      </c>
      <c r="Q122">
        <v>7.7</v>
      </c>
      <c r="R122">
        <v>4.5999999999999996</v>
      </c>
      <c r="S122" t="s">
        <v>6</v>
      </c>
    </row>
    <row r="123" spans="1:19">
      <c r="A123" t="s">
        <v>368</v>
      </c>
      <c r="C123" t="s">
        <v>40</v>
      </c>
      <c r="D123" t="s">
        <v>96</v>
      </c>
      <c r="E123" t="s">
        <v>47</v>
      </c>
      <c r="F123" t="s">
        <v>53</v>
      </c>
      <c r="G123" t="s">
        <v>369</v>
      </c>
      <c r="H123">
        <v>624</v>
      </c>
      <c r="I123" t="s">
        <v>79</v>
      </c>
      <c r="J123" t="s">
        <v>71</v>
      </c>
      <c r="K123">
        <v>0.9</v>
      </c>
      <c r="L123" t="s">
        <v>370</v>
      </c>
      <c r="M123">
        <v>0</v>
      </c>
      <c r="N123">
        <v>4.4000000000000004</v>
      </c>
      <c r="O123">
        <v>3</v>
      </c>
      <c r="P123">
        <v>5</v>
      </c>
      <c r="Q123">
        <v>0.1</v>
      </c>
      <c r="R123">
        <v>7.4</v>
      </c>
      <c r="S123" t="s">
        <v>6</v>
      </c>
    </row>
    <row r="124" spans="1:19">
      <c r="A124" t="s">
        <v>371</v>
      </c>
      <c r="B124">
        <v>18</v>
      </c>
      <c r="C124" t="s">
        <v>40</v>
      </c>
      <c r="D124" t="s">
        <v>41</v>
      </c>
      <c r="E124" t="s">
        <v>47</v>
      </c>
      <c r="F124" t="s">
        <v>53</v>
      </c>
      <c r="G124" t="s">
        <v>355</v>
      </c>
      <c r="H124">
        <v>80</v>
      </c>
      <c r="I124" t="s">
        <v>161</v>
      </c>
      <c r="J124" t="s">
        <v>71</v>
      </c>
      <c r="K124">
        <v>4.0999999999999996</v>
      </c>
      <c r="L124" t="s">
        <v>372</v>
      </c>
      <c r="M124">
        <v>20</v>
      </c>
      <c r="N124">
        <v>7</v>
      </c>
      <c r="O124">
        <v>5</v>
      </c>
      <c r="P124">
        <v>8</v>
      </c>
      <c r="Q124">
        <v>10.5</v>
      </c>
      <c r="R124">
        <v>5.8</v>
      </c>
      <c r="S124" t="s">
        <v>6</v>
      </c>
    </row>
    <row r="125" spans="1:19">
      <c r="A125" t="s">
        <v>373</v>
      </c>
      <c r="B125">
        <v>48</v>
      </c>
      <c r="C125" t="s">
        <v>62</v>
      </c>
      <c r="D125" t="s">
        <v>41</v>
      </c>
      <c r="E125" t="s">
        <v>33</v>
      </c>
      <c r="F125" t="s">
        <v>64</v>
      </c>
      <c r="G125" t="s">
        <v>374</v>
      </c>
      <c r="H125">
        <v>210</v>
      </c>
      <c r="I125" t="s">
        <v>36</v>
      </c>
      <c r="J125" t="s">
        <v>59</v>
      </c>
      <c r="K125">
        <v>1.8</v>
      </c>
      <c r="L125" t="s">
        <v>375</v>
      </c>
      <c r="M125">
        <v>10</v>
      </c>
      <c r="N125">
        <v>3.6</v>
      </c>
      <c r="O125">
        <v>3</v>
      </c>
      <c r="P125">
        <v>4</v>
      </c>
      <c r="Q125">
        <v>5.0999999999999996</v>
      </c>
      <c r="R125">
        <v>9.5</v>
      </c>
      <c r="S125" t="s">
        <v>4</v>
      </c>
    </row>
    <row r="126" spans="1:19">
      <c r="A126" t="s">
        <v>376</v>
      </c>
      <c r="B126">
        <v>26</v>
      </c>
      <c r="D126" t="s">
        <v>82</v>
      </c>
      <c r="E126" t="s">
        <v>47</v>
      </c>
      <c r="F126" t="s">
        <v>97</v>
      </c>
      <c r="G126" t="s">
        <v>141</v>
      </c>
      <c r="H126">
        <v>0</v>
      </c>
      <c r="I126" t="s">
        <v>36</v>
      </c>
      <c r="J126" t="s">
        <v>43</v>
      </c>
      <c r="K126">
        <v>0.6</v>
      </c>
      <c r="L126" t="s">
        <v>377</v>
      </c>
      <c r="M126">
        <v>0</v>
      </c>
      <c r="N126">
        <v>3.2</v>
      </c>
      <c r="O126">
        <v>2</v>
      </c>
      <c r="P126">
        <v>5</v>
      </c>
      <c r="Q126">
        <v>2.2000000000000002</v>
      </c>
      <c r="R126">
        <v>8.8000000000000007</v>
      </c>
      <c r="S126" t="s">
        <v>6</v>
      </c>
    </row>
    <row r="127" spans="1:19">
      <c r="A127" t="s">
        <v>378</v>
      </c>
      <c r="B127">
        <v>55</v>
      </c>
      <c r="C127" t="s">
        <v>62</v>
      </c>
      <c r="D127" t="s">
        <v>63</v>
      </c>
      <c r="E127" t="s">
        <v>33</v>
      </c>
      <c r="F127" t="s">
        <v>48</v>
      </c>
      <c r="G127" t="s">
        <v>379</v>
      </c>
      <c r="H127">
        <v>2116</v>
      </c>
      <c r="I127" t="s">
        <v>79</v>
      </c>
      <c r="J127" t="s">
        <v>71</v>
      </c>
      <c r="K127">
        <v>1.4</v>
      </c>
      <c r="L127" t="s">
        <v>380</v>
      </c>
      <c r="M127">
        <v>0</v>
      </c>
      <c r="N127">
        <v>3.9</v>
      </c>
      <c r="O127">
        <v>2</v>
      </c>
      <c r="P127">
        <v>4</v>
      </c>
      <c r="Q127">
        <v>1.6</v>
      </c>
      <c r="R127">
        <v>8.3000000000000007</v>
      </c>
      <c r="S127" t="s">
        <v>6</v>
      </c>
    </row>
    <row r="128" spans="1:19">
      <c r="A128" t="s">
        <v>381</v>
      </c>
      <c r="B128">
        <v>25</v>
      </c>
      <c r="C128" t="s">
        <v>62</v>
      </c>
      <c r="D128" t="s">
        <v>96</v>
      </c>
      <c r="E128" t="s">
        <v>47</v>
      </c>
      <c r="F128" t="s">
        <v>149</v>
      </c>
      <c r="G128" t="s">
        <v>382</v>
      </c>
      <c r="H128">
        <v>0</v>
      </c>
      <c r="I128" t="s">
        <v>36</v>
      </c>
      <c r="J128" t="s">
        <v>102</v>
      </c>
      <c r="K128">
        <v>1.9</v>
      </c>
      <c r="L128" t="s">
        <v>383</v>
      </c>
      <c r="M128">
        <v>10</v>
      </c>
      <c r="N128">
        <v>5.5</v>
      </c>
      <c r="O128">
        <v>3</v>
      </c>
      <c r="P128">
        <v>5</v>
      </c>
      <c r="Q128">
        <v>2.9</v>
      </c>
      <c r="R128">
        <v>2.1</v>
      </c>
      <c r="S128" t="s">
        <v>3</v>
      </c>
    </row>
    <row r="129" spans="1:19">
      <c r="A129" t="s">
        <v>384</v>
      </c>
      <c r="B129">
        <v>41</v>
      </c>
      <c r="C129" t="s">
        <v>62</v>
      </c>
      <c r="D129" t="s">
        <v>52</v>
      </c>
      <c r="E129" t="s">
        <v>33</v>
      </c>
      <c r="F129" t="s">
        <v>34</v>
      </c>
      <c r="G129" t="s">
        <v>385</v>
      </c>
      <c r="H129">
        <v>1407</v>
      </c>
      <c r="I129" t="s">
        <v>161</v>
      </c>
      <c r="J129" t="s">
        <v>43</v>
      </c>
      <c r="K129">
        <v>0.6</v>
      </c>
      <c r="L129" t="s">
        <v>386</v>
      </c>
      <c r="M129">
        <v>0</v>
      </c>
      <c r="N129">
        <v>3.3</v>
      </c>
      <c r="O129">
        <v>3</v>
      </c>
      <c r="P129">
        <v>4</v>
      </c>
      <c r="Q129">
        <v>3</v>
      </c>
      <c r="R129">
        <v>9.5</v>
      </c>
      <c r="S129" t="s">
        <v>4</v>
      </c>
    </row>
    <row r="130" spans="1:19">
      <c r="A130" t="s">
        <v>387</v>
      </c>
      <c r="B130">
        <v>24</v>
      </c>
      <c r="C130" t="s">
        <v>40</v>
      </c>
      <c r="D130" t="s">
        <v>41</v>
      </c>
      <c r="E130" t="s">
        <v>47</v>
      </c>
      <c r="G130" t="s">
        <v>74</v>
      </c>
      <c r="H130">
        <v>95</v>
      </c>
      <c r="I130" t="s">
        <v>93</v>
      </c>
      <c r="J130" t="s">
        <v>75</v>
      </c>
      <c r="K130">
        <v>3.7</v>
      </c>
      <c r="L130" t="s">
        <v>388</v>
      </c>
      <c r="M130">
        <v>0</v>
      </c>
      <c r="N130">
        <v>7.7</v>
      </c>
      <c r="O130">
        <v>4</v>
      </c>
      <c r="P130">
        <v>7</v>
      </c>
      <c r="Q130">
        <v>9.9</v>
      </c>
      <c r="R130">
        <v>9</v>
      </c>
      <c r="S130" t="s">
        <v>3</v>
      </c>
    </row>
    <row r="131" spans="1:19">
      <c r="A131" t="s">
        <v>389</v>
      </c>
      <c r="B131">
        <v>36</v>
      </c>
      <c r="C131" t="s">
        <v>62</v>
      </c>
      <c r="D131" t="s">
        <v>113</v>
      </c>
      <c r="E131" t="s">
        <v>33</v>
      </c>
      <c r="F131" t="s">
        <v>34</v>
      </c>
      <c r="G131" t="s">
        <v>126</v>
      </c>
      <c r="H131">
        <v>6766</v>
      </c>
      <c r="I131" t="s">
        <v>36</v>
      </c>
      <c r="J131" t="s">
        <v>43</v>
      </c>
      <c r="K131">
        <v>2.8</v>
      </c>
      <c r="L131" t="s">
        <v>390</v>
      </c>
      <c r="M131">
        <v>0</v>
      </c>
      <c r="N131">
        <v>5.4</v>
      </c>
      <c r="O131">
        <v>4</v>
      </c>
      <c r="P131">
        <v>7</v>
      </c>
      <c r="Q131">
        <v>6.2</v>
      </c>
      <c r="R131">
        <v>8.1999999999999993</v>
      </c>
      <c r="S131" t="s">
        <v>6</v>
      </c>
    </row>
    <row r="132" spans="1:19">
      <c r="A132" t="s">
        <v>391</v>
      </c>
      <c r="B132">
        <v>35</v>
      </c>
      <c r="D132" t="s">
        <v>113</v>
      </c>
      <c r="E132" t="s">
        <v>33</v>
      </c>
      <c r="F132" t="s">
        <v>34</v>
      </c>
      <c r="G132" t="s">
        <v>137</v>
      </c>
      <c r="H132">
        <v>5966</v>
      </c>
      <c r="I132" t="s">
        <v>36</v>
      </c>
      <c r="J132" t="s">
        <v>138</v>
      </c>
      <c r="K132">
        <v>4.9000000000000004</v>
      </c>
      <c r="L132" t="s">
        <v>392</v>
      </c>
      <c r="M132">
        <v>20</v>
      </c>
      <c r="N132">
        <v>5.7</v>
      </c>
      <c r="O132">
        <v>3</v>
      </c>
      <c r="P132">
        <v>5</v>
      </c>
      <c r="Q132">
        <v>11.5</v>
      </c>
      <c r="R132">
        <v>9.3000000000000007</v>
      </c>
      <c r="S132" t="s">
        <v>6</v>
      </c>
    </row>
    <row r="133" spans="1:19">
      <c r="A133" t="s">
        <v>393</v>
      </c>
      <c r="C133" t="s">
        <v>62</v>
      </c>
      <c r="D133" t="s">
        <v>46</v>
      </c>
      <c r="E133" t="s">
        <v>47</v>
      </c>
      <c r="G133" t="s">
        <v>105</v>
      </c>
      <c r="H133">
        <v>0</v>
      </c>
      <c r="I133" t="s">
        <v>36</v>
      </c>
      <c r="J133" t="s">
        <v>71</v>
      </c>
      <c r="K133">
        <v>5.4</v>
      </c>
      <c r="L133" t="s">
        <v>394</v>
      </c>
      <c r="M133">
        <v>0</v>
      </c>
      <c r="N133">
        <v>7.2</v>
      </c>
      <c r="O133">
        <v>4</v>
      </c>
      <c r="P133">
        <v>8</v>
      </c>
      <c r="Q133">
        <v>10.7</v>
      </c>
      <c r="R133">
        <v>4.8</v>
      </c>
      <c r="S133" t="s">
        <v>4</v>
      </c>
    </row>
    <row r="134" spans="1:19">
      <c r="A134" t="s">
        <v>395</v>
      </c>
      <c r="B134">
        <v>20</v>
      </c>
      <c r="C134" t="s">
        <v>40</v>
      </c>
      <c r="D134" t="s">
        <v>82</v>
      </c>
      <c r="E134" t="s">
        <v>47</v>
      </c>
      <c r="F134" t="s">
        <v>48</v>
      </c>
      <c r="G134" t="s">
        <v>355</v>
      </c>
      <c r="H134">
        <v>135</v>
      </c>
      <c r="I134" t="s">
        <v>66</v>
      </c>
      <c r="J134" t="s">
        <v>71</v>
      </c>
      <c r="K134">
        <v>1.6</v>
      </c>
      <c r="L134" t="s">
        <v>396</v>
      </c>
      <c r="M134">
        <v>30</v>
      </c>
      <c r="N134">
        <v>4.5</v>
      </c>
      <c r="O134">
        <v>4</v>
      </c>
      <c r="P134">
        <v>6</v>
      </c>
      <c r="Q134">
        <v>3.5</v>
      </c>
      <c r="S134" t="s">
        <v>3</v>
      </c>
    </row>
    <row r="135" spans="1:19">
      <c r="A135" t="s">
        <v>397</v>
      </c>
      <c r="B135">
        <v>27</v>
      </c>
      <c r="C135" t="s">
        <v>31</v>
      </c>
      <c r="D135" t="s">
        <v>96</v>
      </c>
      <c r="E135" t="s">
        <v>47</v>
      </c>
      <c r="F135" t="s">
        <v>53</v>
      </c>
      <c r="G135" t="s">
        <v>398</v>
      </c>
      <c r="H135">
        <v>675</v>
      </c>
      <c r="I135" t="s">
        <v>66</v>
      </c>
      <c r="J135" t="s">
        <v>59</v>
      </c>
      <c r="K135">
        <v>1.2</v>
      </c>
      <c r="L135" t="s">
        <v>399</v>
      </c>
      <c r="M135">
        <v>20</v>
      </c>
      <c r="N135">
        <v>4.0999999999999996</v>
      </c>
      <c r="O135">
        <v>3</v>
      </c>
      <c r="P135">
        <v>6</v>
      </c>
      <c r="Q135">
        <v>1.1000000000000001</v>
      </c>
      <c r="R135">
        <v>7.6</v>
      </c>
      <c r="S135" t="s">
        <v>6</v>
      </c>
    </row>
    <row r="136" spans="1:19">
      <c r="A136" t="s">
        <v>400</v>
      </c>
      <c r="B136">
        <v>36</v>
      </c>
      <c r="C136" t="s">
        <v>40</v>
      </c>
      <c r="D136" t="s">
        <v>41</v>
      </c>
      <c r="E136" t="s">
        <v>33</v>
      </c>
      <c r="F136" t="s">
        <v>48</v>
      </c>
      <c r="G136" t="s">
        <v>401</v>
      </c>
      <c r="H136">
        <v>856</v>
      </c>
      <c r="I136" t="s">
        <v>36</v>
      </c>
      <c r="J136" t="s">
        <v>71</v>
      </c>
      <c r="K136">
        <v>2.7</v>
      </c>
      <c r="L136" t="s">
        <v>402</v>
      </c>
      <c r="M136">
        <v>0</v>
      </c>
      <c r="O136">
        <v>4</v>
      </c>
      <c r="P136">
        <v>6</v>
      </c>
      <c r="Q136">
        <v>5.7</v>
      </c>
      <c r="R136">
        <v>8.6999999999999993</v>
      </c>
      <c r="S136" t="s">
        <v>6</v>
      </c>
    </row>
    <row r="137" spans="1:19">
      <c r="A137" t="s">
        <v>403</v>
      </c>
      <c r="B137">
        <v>48</v>
      </c>
      <c r="C137" t="s">
        <v>62</v>
      </c>
      <c r="D137" t="s">
        <v>63</v>
      </c>
      <c r="E137" t="s">
        <v>33</v>
      </c>
      <c r="F137" t="s">
        <v>34</v>
      </c>
      <c r="G137" t="s">
        <v>404</v>
      </c>
      <c r="H137">
        <v>544</v>
      </c>
      <c r="I137" t="s">
        <v>79</v>
      </c>
      <c r="J137" t="s">
        <v>43</v>
      </c>
      <c r="K137">
        <v>5.5</v>
      </c>
      <c r="L137" t="s">
        <v>405</v>
      </c>
      <c r="M137">
        <v>0</v>
      </c>
      <c r="N137">
        <v>7.8</v>
      </c>
      <c r="O137">
        <v>4</v>
      </c>
      <c r="P137">
        <v>7</v>
      </c>
      <c r="Q137">
        <v>11.5</v>
      </c>
      <c r="R137">
        <v>8.4</v>
      </c>
      <c r="S137" t="s">
        <v>6</v>
      </c>
    </row>
    <row r="138" spans="1:19">
      <c r="A138" t="s">
        <v>406</v>
      </c>
      <c r="B138">
        <v>23</v>
      </c>
      <c r="C138" t="s">
        <v>31</v>
      </c>
      <c r="E138" t="s">
        <v>47</v>
      </c>
      <c r="F138" t="s">
        <v>48</v>
      </c>
      <c r="G138" t="s">
        <v>78</v>
      </c>
      <c r="H138">
        <v>0</v>
      </c>
      <c r="I138" t="s">
        <v>93</v>
      </c>
      <c r="J138" t="s">
        <v>43</v>
      </c>
      <c r="K138">
        <v>1</v>
      </c>
      <c r="L138" t="s">
        <v>407</v>
      </c>
      <c r="M138">
        <v>20</v>
      </c>
      <c r="N138">
        <v>3.3</v>
      </c>
      <c r="O138">
        <v>3</v>
      </c>
      <c r="P138">
        <v>5</v>
      </c>
      <c r="Q138">
        <v>2.6</v>
      </c>
      <c r="R138">
        <v>6.2</v>
      </c>
      <c r="S138" t="s">
        <v>6</v>
      </c>
    </row>
    <row r="139" spans="1:19">
      <c r="A139" t="s">
        <v>408</v>
      </c>
      <c r="B139">
        <v>16</v>
      </c>
      <c r="C139" t="s">
        <v>40</v>
      </c>
      <c r="D139" t="s">
        <v>96</v>
      </c>
      <c r="E139" t="s">
        <v>47</v>
      </c>
      <c r="F139" t="s">
        <v>48</v>
      </c>
      <c r="H139">
        <v>324</v>
      </c>
      <c r="I139" t="s">
        <v>93</v>
      </c>
      <c r="J139" t="s">
        <v>43</v>
      </c>
      <c r="K139">
        <v>7.1</v>
      </c>
      <c r="M139">
        <v>20</v>
      </c>
      <c r="O139">
        <v>2</v>
      </c>
      <c r="P139">
        <v>5</v>
      </c>
      <c r="Q139">
        <v>11.6</v>
      </c>
      <c r="R139">
        <v>3</v>
      </c>
      <c r="S139" t="s">
        <v>4</v>
      </c>
    </row>
    <row r="140" spans="1:19">
      <c r="A140" t="s">
        <v>409</v>
      </c>
      <c r="B140">
        <v>41</v>
      </c>
      <c r="C140" t="s">
        <v>62</v>
      </c>
      <c r="D140" t="s">
        <v>41</v>
      </c>
      <c r="E140" t="s">
        <v>33</v>
      </c>
      <c r="F140" t="s">
        <v>97</v>
      </c>
      <c r="G140" t="s">
        <v>410</v>
      </c>
      <c r="H140">
        <v>672</v>
      </c>
      <c r="I140" t="s">
        <v>66</v>
      </c>
      <c r="J140" t="s">
        <v>59</v>
      </c>
      <c r="K140">
        <v>8.1</v>
      </c>
      <c r="L140" t="s">
        <v>411</v>
      </c>
      <c r="M140">
        <v>0</v>
      </c>
      <c r="N140">
        <v>5.6</v>
      </c>
      <c r="O140">
        <v>5</v>
      </c>
      <c r="P140">
        <v>8</v>
      </c>
      <c r="Q140">
        <v>16.5</v>
      </c>
      <c r="R140">
        <v>7.4</v>
      </c>
      <c r="S140" t="s">
        <v>6</v>
      </c>
    </row>
    <row r="141" spans="1:19">
      <c r="A141" t="s">
        <v>412</v>
      </c>
      <c r="B141">
        <v>19</v>
      </c>
      <c r="C141" t="s">
        <v>40</v>
      </c>
      <c r="D141" t="s">
        <v>113</v>
      </c>
      <c r="E141" t="s">
        <v>47</v>
      </c>
      <c r="F141" t="s">
        <v>53</v>
      </c>
      <c r="G141" t="s">
        <v>413</v>
      </c>
      <c r="H141">
        <v>0</v>
      </c>
      <c r="I141" t="s">
        <v>93</v>
      </c>
      <c r="J141" t="s">
        <v>71</v>
      </c>
      <c r="K141">
        <v>2.8</v>
      </c>
      <c r="L141" t="s">
        <v>414</v>
      </c>
      <c r="M141">
        <v>20</v>
      </c>
      <c r="N141">
        <v>5</v>
      </c>
      <c r="O141">
        <v>3</v>
      </c>
      <c r="P141">
        <v>6</v>
      </c>
      <c r="Q141">
        <v>6.9</v>
      </c>
      <c r="R141">
        <v>6.5</v>
      </c>
      <c r="S141" t="s">
        <v>3</v>
      </c>
    </row>
    <row r="142" spans="1:19">
      <c r="A142" t="s">
        <v>415</v>
      </c>
      <c r="B142">
        <v>29</v>
      </c>
      <c r="D142" t="s">
        <v>123</v>
      </c>
      <c r="E142" t="s">
        <v>47</v>
      </c>
      <c r="F142" t="s">
        <v>97</v>
      </c>
      <c r="G142" t="s">
        <v>141</v>
      </c>
      <c r="H142">
        <v>0</v>
      </c>
      <c r="I142" t="s">
        <v>161</v>
      </c>
      <c r="J142" t="s">
        <v>43</v>
      </c>
      <c r="K142">
        <v>2.6</v>
      </c>
      <c r="L142" t="s">
        <v>416</v>
      </c>
      <c r="M142">
        <v>10</v>
      </c>
      <c r="N142">
        <v>3.7</v>
      </c>
      <c r="O142">
        <v>4</v>
      </c>
      <c r="P142">
        <v>7</v>
      </c>
      <c r="Q142">
        <v>4.8</v>
      </c>
      <c r="R142">
        <v>6.2</v>
      </c>
      <c r="S142" t="s">
        <v>6</v>
      </c>
    </row>
    <row r="143" spans="1:19">
      <c r="A143" t="s">
        <v>417</v>
      </c>
      <c r="B143">
        <v>28</v>
      </c>
      <c r="C143" t="s">
        <v>62</v>
      </c>
      <c r="D143" t="s">
        <v>123</v>
      </c>
      <c r="E143" t="s">
        <v>47</v>
      </c>
      <c r="F143" t="s">
        <v>53</v>
      </c>
      <c r="G143" t="s">
        <v>49</v>
      </c>
      <c r="H143">
        <v>528</v>
      </c>
      <c r="I143" t="s">
        <v>87</v>
      </c>
      <c r="J143" t="s">
        <v>102</v>
      </c>
      <c r="K143">
        <v>1.5</v>
      </c>
      <c r="L143" t="s">
        <v>418</v>
      </c>
      <c r="M143">
        <v>10</v>
      </c>
      <c r="O143">
        <v>3</v>
      </c>
      <c r="P143">
        <v>5</v>
      </c>
      <c r="Q143">
        <v>5.5</v>
      </c>
      <c r="R143">
        <v>5.7</v>
      </c>
      <c r="S143" t="s">
        <v>6</v>
      </c>
    </row>
    <row r="144" spans="1:19">
      <c r="A144" t="s">
        <v>419</v>
      </c>
      <c r="B144">
        <v>20</v>
      </c>
      <c r="D144" t="s">
        <v>41</v>
      </c>
      <c r="E144" t="s">
        <v>47</v>
      </c>
      <c r="F144" t="s">
        <v>53</v>
      </c>
      <c r="G144" t="s">
        <v>131</v>
      </c>
      <c r="H144">
        <v>0</v>
      </c>
      <c r="I144" t="s">
        <v>66</v>
      </c>
      <c r="J144" t="s">
        <v>59</v>
      </c>
      <c r="K144">
        <v>3.4</v>
      </c>
      <c r="L144" t="s">
        <v>420</v>
      </c>
      <c r="M144">
        <v>10</v>
      </c>
      <c r="N144">
        <v>6.5</v>
      </c>
      <c r="O144">
        <v>3</v>
      </c>
      <c r="P144">
        <v>6</v>
      </c>
      <c r="Q144">
        <v>7.2</v>
      </c>
      <c r="R144">
        <v>4.5999999999999996</v>
      </c>
      <c r="S144" t="s">
        <v>6</v>
      </c>
    </row>
    <row r="145" spans="1:19">
      <c r="A145" t="s">
        <v>421</v>
      </c>
      <c r="B145">
        <v>32</v>
      </c>
      <c r="C145" t="s">
        <v>40</v>
      </c>
      <c r="D145" t="s">
        <v>113</v>
      </c>
      <c r="E145" t="s">
        <v>33</v>
      </c>
      <c r="F145" t="s">
        <v>64</v>
      </c>
      <c r="G145" t="s">
        <v>126</v>
      </c>
      <c r="H145">
        <v>7739</v>
      </c>
      <c r="I145" t="s">
        <v>36</v>
      </c>
      <c r="J145" t="s">
        <v>43</v>
      </c>
      <c r="K145">
        <v>2.2000000000000002</v>
      </c>
      <c r="L145" t="s">
        <v>422</v>
      </c>
      <c r="M145">
        <v>0</v>
      </c>
      <c r="N145">
        <v>5.0999999999999996</v>
      </c>
      <c r="O145">
        <v>3</v>
      </c>
      <c r="P145">
        <v>6</v>
      </c>
      <c r="Q145">
        <v>5.6</v>
      </c>
      <c r="R145">
        <v>5.0999999999999996</v>
      </c>
      <c r="S145" t="s">
        <v>4</v>
      </c>
    </row>
    <row r="146" spans="1:19">
      <c r="A146" t="s">
        <v>423</v>
      </c>
      <c r="B146">
        <v>27</v>
      </c>
      <c r="C146" t="s">
        <v>40</v>
      </c>
      <c r="D146" t="s">
        <v>123</v>
      </c>
      <c r="E146" t="s">
        <v>33</v>
      </c>
      <c r="F146" t="s">
        <v>48</v>
      </c>
      <c r="G146" t="s">
        <v>114</v>
      </c>
      <c r="H146">
        <v>4186</v>
      </c>
      <c r="I146" t="s">
        <v>36</v>
      </c>
      <c r="J146" t="s">
        <v>75</v>
      </c>
      <c r="K146">
        <v>0.8</v>
      </c>
      <c r="L146" t="s">
        <v>424</v>
      </c>
      <c r="M146">
        <v>0</v>
      </c>
      <c r="N146">
        <v>3.9</v>
      </c>
      <c r="O146">
        <v>4</v>
      </c>
      <c r="P146">
        <v>6</v>
      </c>
      <c r="Q146">
        <v>4.3</v>
      </c>
      <c r="R146">
        <v>9</v>
      </c>
      <c r="S146" t="s">
        <v>3</v>
      </c>
    </row>
    <row r="147" spans="1:19">
      <c r="A147" t="s">
        <v>425</v>
      </c>
      <c r="B147">
        <v>18</v>
      </c>
      <c r="C147" t="s">
        <v>40</v>
      </c>
      <c r="D147" t="s">
        <v>113</v>
      </c>
      <c r="E147" t="s">
        <v>47</v>
      </c>
      <c r="F147" t="s">
        <v>64</v>
      </c>
      <c r="G147" t="s">
        <v>108</v>
      </c>
      <c r="H147">
        <v>540</v>
      </c>
      <c r="I147" t="s">
        <v>36</v>
      </c>
      <c r="J147" t="s">
        <v>102</v>
      </c>
      <c r="K147">
        <v>4.3</v>
      </c>
      <c r="L147" t="s">
        <v>426</v>
      </c>
      <c r="M147">
        <v>20</v>
      </c>
      <c r="N147">
        <v>5.8</v>
      </c>
      <c r="O147">
        <v>2</v>
      </c>
      <c r="P147">
        <v>6</v>
      </c>
      <c r="Q147">
        <v>8.1</v>
      </c>
      <c r="R147">
        <v>5.2</v>
      </c>
      <c r="S147" t="s">
        <v>4</v>
      </c>
    </row>
    <row r="148" spans="1:19">
      <c r="A148" t="s">
        <v>427</v>
      </c>
      <c r="B148">
        <v>39</v>
      </c>
      <c r="C148" t="s">
        <v>62</v>
      </c>
      <c r="D148" t="s">
        <v>63</v>
      </c>
      <c r="E148" t="s">
        <v>33</v>
      </c>
      <c r="F148" t="s">
        <v>34</v>
      </c>
      <c r="G148" t="s">
        <v>428</v>
      </c>
      <c r="H148">
        <v>894</v>
      </c>
      <c r="I148" t="s">
        <v>36</v>
      </c>
      <c r="J148" t="s">
        <v>37</v>
      </c>
      <c r="K148">
        <v>2.8</v>
      </c>
      <c r="M148">
        <v>20</v>
      </c>
      <c r="N148">
        <v>7.9</v>
      </c>
      <c r="O148">
        <v>4</v>
      </c>
      <c r="P148">
        <v>9</v>
      </c>
      <c r="Q148">
        <v>3.9</v>
      </c>
      <c r="R148">
        <v>9.1999999999999993</v>
      </c>
      <c r="S148" t="s">
        <v>6</v>
      </c>
    </row>
    <row r="149" spans="1:19">
      <c r="A149" t="s">
        <v>429</v>
      </c>
      <c r="B149">
        <v>17</v>
      </c>
      <c r="C149" t="s">
        <v>62</v>
      </c>
      <c r="D149" t="s">
        <v>41</v>
      </c>
      <c r="E149" t="s">
        <v>47</v>
      </c>
      <c r="F149" t="s">
        <v>64</v>
      </c>
      <c r="G149" t="s">
        <v>101</v>
      </c>
      <c r="H149">
        <v>75</v>
      </c>
      <c r="I149" t="s">
        <v>93</v>
      </c>
      <c r="J149" t="s">
        <v>102</v>
      </c>
      <c r="K149">
        <v>5.9</v>
      </c>
      <c r="L149" t="s">
        <v>430</v>
      </c>
      <c r="M149">
        <v>0</v>
      </c>
      <c r="N149">
        <v>6.1</v>
      </c>
      <c r="O149">
        <v>2</v>
      </c>
      <c r="P149">
        <v>5</v>
      </c>
      <c r="Q149">
        <v>12.1</v>
      </c>
      <c r="S149" t="s">
        <v>4</v>
      </c>
    </row>
    <row r="150" spans="1:19">
      <c r="A150" t="s">
        <v>431</v>
      </c>
      <c r="B150">
        <v>23</v>
      </c>
      <c r="C150" t="s">
        <v>62</v>
      </c>
      <c r="D150" t="s">
        <v>63</v>
      </c>
      <c r="E150" t="s">
        <v>47</v>
      </c>
      <c r="F150" t="s">
        <v>53</v>
      </c>
      <c r="G150" t="s">
        <v>141</v>
      </c>
      <c r="H150">
        <v>215</v>
      </c>
      <c r="I150" t="s">
        <v>36</v>
      </c>
      <c r="J150" t="s">
        <v>43</v>
      </c>
      <c r="K150">
        <v>0.6</v>
      </c>
      <c r="L150" t="s">
        <v>432</v>
      </c>
      <c r="M150">
        <v>10</v>
      </c>
      <c r="N150">
        <v>3</v>
      </c>
      <c r="O150">
        <v>4</v>
      </c>
      <c r="P150">
        <v>5</v>
      </c>
      <c r="Q150">
        <v>0</v>
      </c>
      <c r="R150">
        <v>6.5</v>
      </c>
      <c r="S150" t="s">
        <v>4</v>
      </c>
    </row>
    <row r="151" spans="1:19">
      <c r="A151" t="s">
        <v>433</v>
      </c>
      <c r="B151">
        <v>37</v>
      </c>
      <c r="C151" t="s">
        <v>40</v>
      </c>
      <c r="D151" t="s">
        <v>82</v>
      </c>
      <c r="E151" t="s">
        <v>33</v>
      </c>
      <c r="F151" t="s">
        <v>64</v>
      </c>
      <c r="G151" t="s">
        <v>83</v>
      </c>
      <c r="H151">
        <v>889</v>
      </c>
      <c r="I151" t="s">
        <v>36</v>
      </c>
      <c r="J151" t="s">
        <v>75</v>
      </c>
      <c r="K151">
        <v>3.3</v>
      </c>
      <c r="L151" t="s">
        <v>434</v>
      </c>
      <c r="M151">
        <v>0</v>
      </c>
      <c r="N151">
        <v>7.8</v>
      </c>
      <c r="O151">
        <v>4</v>
      </c>
      <c r="P151">
        <v>7</v>
      </c>
      <c r="Q151">
        <v>6.5</v>
      </c>
      <c r="R151">
        <v>8.9</v>
      </c>
      <c r="S151" t="s">
        <v>6</v>
      </c>
    </row>
    <row r="152" spans="1:19">
      <c r="A152" t="s">
        <v>435</v>
      </c>
      <c r="B152">
        <v>39</v>
      </c>
      <c r="C152" t="s">
        <v>40</v>
      </c>
      <c r="D152" t="s">
        <v>52</v>
      </c>
      <c r="E152" t="s">
        <v>33</v>
      </c>
      <c r="F152" t="s">
        <v>48</v>
      </c>
      <c r="G152" t="s">
        <v>184</v>
      </c>
      <c r="H152">
        <v>1106</v>
      </c>
      <c r="I152" t="s">
        <v>93</v>
      </c>
      <c r="J152" t="s">
        <v>43</v>
      </c>
      <c r="K152">
        <v>4.4000000000000004</v>
      </c>
      <c r="L152" t="s">
        <v>436</v>
      </c>
      <c r="M152">
        <v>0</v>
      </c>
      <c r="N152">
        <v>6.1</v>
      </c>
      <c r="O152">
        <v>4</v>
      </c>
      <c r="P152">
        <v>8</v>
      </c>
      <c r="Q152">
        <v>7.7</v>
      </c>
      <c r="R152">
        <v>6.4</v>
      </c>
      <c r="S152" t="s">
        <v>6</v>
      </c>
    </row>
    <row r="153" spans="1:19">
      <c r="A153" t="s">
        <v>437</v>
      </c>
      <c r="B153">
        <v>17</v>
      </c>
      <c r="C153" t="s">
        <v>62</v>
      </c>
      <c r="D153" t="s">
        <v>96</v>
      </c>
      <c r="E153" t="s">
        <v>47</v>
      </c>
      <c r="G153" t="s">
        <v>141</v>
      </c>
      <c r="H153">
        <v>402</v>
      </c>
      <c r="I153" t="s">
        <v>36</v>
      </c>
      <c r="J153" t="s">
        <v>43</v>
      </c>
      <c r="K153">
        <v>1</v>
      </c>
      <c r="M153">
        <v>20</v>
      </c>
      <c r="N153">
        <v>3.2</v>
      </c>
      <c r="O153">
        <v>2</v>
      </c>
      <c r="P153">
        <v>4</v>
      </c>
      <c r="Q153">
        <v>5.2</v>
      </c>
      <c r="R153">
        <v>6.7</v>
      </c>
      <c r="S153" t="s">
        <v>4</v>
      </c>
    </row>
    <row r="154" spans="1:19">
      <c r="A154" t="s">
        <v>438</v>
      </c>
      <c r="B154">
        <v>22</v>
      </c>
      <c r="C154" t="s">
        <v>62</v>
      </c>
      <c r="D154" t="s">
        <v>113</v>
      </c>
      <c r="E154" t="s">
        <v>47</v>
      </c>
      <c r="F154" t="s">
        <v>97</v>
      </c>
      <c r="G154" t="s">
        <v>141</v>
      </c>
      <c r="H154">
        <v>0</v>
      </c>
      <c r="I154" t="s">
        <v>93</v>
      </c>
      <c r="K154">
        <v>5.5</v>
      </c>
      <c r="L154" t="s">
        <v>250</v>
      </c>
      <c r="M154">
        <v>0</v>
      </c>
      <c r="N154">
        <v>8.3000000000000007</v>
      </c>
      <c r="O154">
        <v>3</v>
      </c>
      <c r="P154">
        <v>8</v>
      </c>
      <c r="Q154">
        <v>10.9</v>
      </c>
      <c r="R154">
        <v>7.4</v>
      </c>
      <c r="S154" t="s">
        <v>6</v>
      </c>
    </row>
    <row r="155" spans="1:19">
      <c r="A155" t="s">
        <v>439</v>
      </c>
      <c r="C155" t="s">
        <v>62</v>
      </c>
      <c r="D155" t="s">
        <v>41</v>
      </c>
      <c r="E155" t="s">
        <v>47</v>
      </c>
      <c r="F155" t="s">
        <v>64</v>
      </c>
      <c r="G155" t="s">
        <v>78</v>
      </c>
      <c r="H155">
        <v>83</v>
      </c>
      <c r="I155" t="s">
        <v>66</v>
      </c>
      <c r="J155" t="s">
        <v>102</v>
      </c>
      <c r="K155">
        <v>2.2999999999999998</v>
      </c>
      <c r="M155">
        <v>20</v>
      </c>
      <c r="N155">
        <v>6.1</v>
      </c>
      <c r="O155">
        <v>3</v>
      </c>
      <c r="P155">
        <v>5</v>
      </c>
      <c r="Q155">
        <v>2.2999999999999998</v>
      </c>
      <c r="R155">
        <v>6.4</v>
      </c>
      <c r="S155" t="s">
        <v>3</v>
      </c>
    </row>
    <row r="156" spans="1:19">
      <c r="A156" t="s">
        <v>440</v>
      </c>
      <c r="C156" t="s">
        <v>62</v>
      </c>
      <c r="D156" t="s">
        <v>123</v>
      </c>
      <c r="E156" t="s">
        <v>33</v>
      </c>
      <c r="F156" t="s">
        <v>34</v>
      </c>
      <c r="G156" t="s">
        <v>83</v>
      </c>
      <c r="H156">
        <v>2303</v>
      </c>
      <c r="I156" t="s">
        <v>87</v>
      </c>
      <c r="J156" t="s">
        <v>75</v>
      </c>
      <c r="K156">
        <v>4.4000000000000004</v>
      </c>
      <c r="L156" t="s">
        <v>441</v>
      </c>
      <c r="M156">
        <v>20</v>
      </c>
      <c r="N156">
        <v>5.8</v>
      </c>
      <c r="O156">
        <v>5</v>
      </c>
      <c r="P156">
        <v>9</v>
      </c>
      <c r="Q156">
        <v>11.3</v>
      </c>
      <c r="R156">
        <v>7.8</v>
      </c>
      <c r="S156" t="s">
        <v>6</v>
      </c>
    </row>
    <row r="157" spans="1:19">
      <c r="A157" t="s">
        <v>442</v>
      </c>
      <c r="B157">
        <v>20</v>
      </c>
      <c r="C157" t="s">
        <v>62</v>
      </c>
      <c r="D157" t="s">
        <v>63</v>
      </c>
      <c r="E157" t="s">
        <v>47</v>
      </c>
      <c r="F157" t="s">
        <v>149</v>
      </c>
      <c r="G157" t="s">
        <v>443</v>
      </c>
      <c r="H157">
        <v>238</v>
      </c>
      <c r="I157" t="s">
        <v>66</v>
      </c>
      <c r="J157" t="s">
        <v>59</v>
      </c>
      <c r="K157">
        <v>1</v>
      </c>
      <c r="M157">
        <v>0</v>
      </c>
      <c r="P157">
        <v>6</v>
      </c>
      <c r="Q157">
        <v>2.7</v>
      </c>
      <c r="R157">
        <v>6.2</v>
      </c>
      <c r="S157" t="s">
        <v>3</v>
      </c>
    </row>
    <row r="158" spans="1:19">
      <c r="A158" t="s">
        <v>444</v>
      </c>
      <c r="B158">
        <v>20</v>
      </c>
      <c r="C158" t="s">
        <v>62</v>
      </c>
      <c r="D158" t="s">
        <v>52</v>
      </c>
      <c r="E158" t="s">
        <v>47</v>
      </c>
      <c r="F158" t="s">
        <v>53</v>
      </c>
      <c r="G158" t="s">
        <v>232</v>
      </c>
      <c r="H158">
        <v>126</v>
      </c>
      <c r="I158" t="s">
        <v>36</v>
      </c>
      <c r="J158" t="s">
        <v>71</v>
      </c>
      <c r="K158">
        <v>0.9</v>
      </c>
      <c r="L158" t="s">
        <v>445</v>
      </c>
      <c r="M158">
        <v>0</v>
      </c>
      <c r="N158">
        <v>3.2</v>
      </c>
      <c r="O158">
        <v>4</v>
      </c>
      <c r="P158">
        <v>4</v>
      </c>
      <c r="Q158">
        <v>1.8</v>
      </c>
      <c r="R158">
        <v>6.3</v>
      </c>
      <c r="S158" t="s">
        <v>6</v>
      </c>
    </row>
    <row r="159" spans="1:19">
      <c r="A159" t="s">
        <v>446</v>
      </c>
      <c r="B159">
        <v>31</v>
      </c>
      <c r="C159" t="s">
        <v>62</v>
      </c>
      <c r="D159" t="s">
        <v>46</v>
      </c>
      <c r="E159" t="s">
        <v>47</v>
      </c>
      <c r="F159" t="s">
        <v>53</v>
      </c>
      <c r="H159">
        <v>204</v>
      </c>
      <c r="I159" t="s">
        <v>58</v>
      </c>
      <c r="J159" t="s">
        <v>75</v>
      </c>
      <c r="K159">
        <v>0.6</v>
      </c>
      <c r="L159" t="s">
        <v>447</v>
      </c>
      <c r="M159">
        <v>0</v>
      </c>
      <c r="N159">
        <v>3.3</v>
      </c>
      <c r="O159">
        <v>2</v>
      </c>
      <c r="P159">
        <v>4</v>
      </c>
      <c r="Q159">
        <v>3.6</v>
      </c>
      <c r="R159">
        <v>5.6</v>
      </c>
      <c r="S159" t="s">
        <v>4</v>
      </c>
    </row>
    <row r="160" spans="1:19">
      <c r="A160" t="s">
        <v>448</v>
      </c>
      <c r="B160">
        <v>23</v>
      </c>
      <c r="C160" t="s">
        <v>40</v>
      </c>
      <c r="D160" t="s">
        <v>69</v>
      </c>
      <c r="E160" t="s">
        <v>33</v>
      </c>
      <c r="F160" t="s">
        <v>48</v>
      </c>
      <c r="G160" t="s">
        <v>449</v>
      </c>
      <c r="H160">
        <v>5976</v>
      </c>
      <c r="I160" t="s">
        <v>36</v>
      </c>
      <c r="J160" t="s">
        <v>138</v>
      </c>
      <c r="K160">
        <v>2</v>
      </c>
      <c r="L160" t="s">
        <v>450</v>
      </c>
      <c r="M160">
        <v>0</v>
      </c>
      <c r="N160">
        <v>5</v>
      </c>
      <c r="O160">
        <v>2</v>
      </c>
      <c r="P160">
        <v>5</v>
      </c>
      <c r="Q160">
        <v>5.8</v>
      </c>
      <c r="R160">
        <v>6.6</v>
      </c>
      <c r="S160" t="s">
        <v>3</v>
      </c>
    </row>
    <row r="161" spans="1:19">
      <c r="A161" t="s">
        <v>451</v>
      </c>
      <c r="B161">
        <v>17</v>
      </c>
      <c r="C161" t="s">
        <v>62</v>
      </c>
      <c r="D161" t="s">
        <v>52</v>
      </c>
      <c r="E161" t="s">
        <v>47</v>
      </c>
      <c r="F161" t="s">
        <v>53</v>
      </c>
      <c r="G161" t="s">
        <v>452</v>
      </c>
      <c r="H161">
        <v>250000</v>
      </c>
      <c r="I161" t="s">
        <v>36</v>
      </c>
      <c r="J161" t="s">
        <v>71</v>
      </c>
      <c r="K161">
        <v>1.7</v>
      </c>
      <c r="L161" t="s">
        <v>453</v>
      </c>
      <c r="M161">
        <v>0</v>
      </c>
      <c r="N161">
        <v>5.8</v>
      </c>
      <c r="O161">
        <v>4</v>
      </c>
      <c r="P161">
        <v>7</v>
      </c>
      <c r="Q161">
        <v>5</v>
      </c>
      <c r="R161">
        <v>7</v>
      </c>
      <c r="S161" t="s">
        <v>6</v>
      </c>
    </row>
    <row r="162" spans="1:19">
      <c r="A162" t="s">
        <v>454</v>
      </c>
      <c r="B162">
        <v>25</v>
      </c>
      <c r="C162" t="s">
        <v>40</v>
      </c>
      <c r="D162" t="s">
        <v>96</v>
      </c>
      <c r="E162" t="s">
        <v>33</v>
      </c>
      <c r="F162" t="s">
        <v>48</v>
      </c>
      <c r="G162" t="s">
        <v>455</v>
      </c>
      <c r="H162">
        <v>6171</v>
      </c>
      <c r="I162" t="s">
        <v>79</v>
      </c>
      <c r="J162" t="s">
        <v>88</v>
      </c>
      <c r="K162">
        <v>1.9</v>
      </c>
      <c r="L162" t="s">
        <v>456</v>
      </c>
      <c r="M162">
        <v>0</v>
      </c>
      <c r="N162">
        <v>3.7</v>
      </c>
      <c r="O162">
        <v>4</v>
      </c>
      <c r="P162">
        <v>5</v>
      </c>
      <c r="Q162">
        <v>0.8</v>
      </c>
      <c r="R162">
        <v>7.6</v>
      </c>
      <c r="S162" t="s">
        <v>3</v>
      </c>
    </row>
    <row r="163" spans="1:19">
      <c r="A163" t="s">
        <v>457</v>
      </c>
      <c r="B163">
        <v>44</v>
      </c>
      <c r="C163" t="s">
        <v>40</v>
      </c>
      <c r="D163" t="s">
        <v>32</v>
      </c>
      <c r="E163" t="s">
        <v>33</v>
      </c>
      <c r="F163" t="s">
        <v>64</v>
      </c>
      <c r="G163" t="s">
        <v>401</v>
      </c>
      <c r="H163">
        <v>258</v>
      </c>
      <c r="I163" t="s">
        <v>255</v>
      </c>
      <c r="K163">
        <v>3.7</v>
      </c>
      <c r="L163" t="s">
        <v>458</v>
      </c>
      <c r="M163">
        <v>0</v>
      </c>
      <c r="N163">
        <v>4.5999999999999996</v>
      </c>
      <c r="O163">
        <v>5</v>
      </c>
      <c r="P163">
        <v>6</v>
      </c>
      <c r="Q163">
        <v>5.7</v>
      </c>
      <c r="R163">
        <v>6.9</v>
      </c>
      <c r="S163" t="s">
        <v>6</v>
      </c>
    </row>
    <row r="164" spans="1:19">
      <c r="A164" t="s">
        <v>459</v>
      </c>
      <c r="B164">
        <v>48</v>
      </c>
      <c r="C164" t="s">
        <v>31</v>
      </c>
      <c r="D164" t="s">
        <v>46</v>
      </c>
      <c r="E164" t="s">
        <v>33</v>
      </c>
      <c r="F164" t="s">
        <v>48</v>
      </c>
      <c r="G164" t="s">
        <v>401</v>
      </c>
      <c r="H164">
        <v>5903</v>
      </c>
      <c r="I164" t="s">
        <v>36</v>
      </c>
      <c r="J164" t="s">
        <v>71</v>
      </c>
      <c r="K164">
        <v>1.6</v>
      </c>
      <c r="L164" t="s">
        <v>460</v>
      </c>
      <c r="M164">
        <v>20</v>
      </c>
      <c r="N164">
        <v>5.2</v>
      </c>
      <c r="O164">
        <v>3</v>
      </c>
      <c r="P164">
        <v>7</v>
      </c>
      <c r="Q164">
        <v>6.5</v>
      </c>
      <c r="R164">
        <v>9.6999999999999993</v>
      </c>
      <c r="S164" t="s">
        <v>6</v>
      </c>
    </row>
    <row r="165" spans="1:19">
      <c r="A165" t="s">
        <v>461</v>
      </c>
      <c r="B165">
        <v>44</v>
      </c>
      <c r="C165" t="s">
        <v>40</v>
      </c>
      <c r="D165" t="s">
        <v>82</v>
      </c>
      <c r="E165" t="s">
        <v>33</v>
      </c>
      <c r="F165" t="s">
        <v>48</v>
      </c>
      <c r="G165" t="s">
        <v>462</v>
      </c>
      <c r="H165">
        <v>384</v>
      </c>
      <c r="I165" t="s">
        <v>93</v>
      </c>
      <c r="J165" t="s">
        <v>71</v>
      </c>
      <c r="K165">
        <v>0.9</v>
      </c>
      <c r="L165" t="s">
        <v>463</v>
      </c>
      <c r="M165">
        <v>10</v>
      </c>
      <c r="N165">
        <v>3.1</v>
      </c>
      <c r="O165">
        <v>3</v>
      </c>
      <c r="P165">
        <v>4</v>
      </c>
      <c r="Q165">
        <v>1.2</v>
      </c>
      <c r="R165">
        <v>7.9</v>
      </c>
      <c r="S165" t="s">
        <v>4</v>
      </c>
    </row>
    <row r="166" spans="1:19">
      <c r="A166" t="s">
        <v>464</v>
      </c>
      <c r="B166">
        <v>22</v>
      </c>
      <c r="C166" t="s">
        <v>62</v>
      </c>
      <c r="D166" t="s">
        <v>63</v>
      </c>
      <c r="E166" t="s">
        <v>47</v>
      </c>
      <c r="F166" t="s">
        <v>97</v>
      </c>
      <c r="G166" t="s">
        <v>232</v>
      </c>
      <c r="H166">
        <v>86</v>
      </c>
      <c r="I166" t="s">
        <v>79</v>
      </c>
      <c r="J166" t="s">
        <v>102</v>
      </c>
      <c r="K166">
        <v>1.4</v>
      </c>
      <c r="L166" t="s">
        <v>465</v>
      </c>
      <c r="M166">
        <v>0</v>
      </c>
      <c r="N166">
        <v>1.9</v>
      </c>
      <c r="O166">
        <v>3</v>
      </c>
      <c r="P166">
        <v>5</v>
      </c>
      <c r="Q166">
        <v>1.7</v>
      </c>
      <c r="S166" t="s">
        <v>6</v>
      </c>
    </row>
    <row r="167" spans="1:19">
      <c r="A167" t="s">
        <v>466</v>
      </c>
      <c r="C167" t="s">
        <v>40</v>
      </c>
      <c r="D167" t="s">
        <v>46</v>
      </c>
      <c r="E167" t="s">
        <v>47</v>
      </c>
      <c r="F167" t="s">
        <v>53</v>
      </c>
      <c r="G167" t="s">
        <v>467</v>
      </c>
      <c r="H167">
        <v>133</v>
      </c>
      <c r="I167" t="s">
        <v>36</v>
      </c>
      <c r="J167" t="s">
        <v>102</v>
      </c>
      <c r="K167">
        <v>1.2</v>
      </c>
      <c r="L167" t="s">
        <v>468</v>
      </c>
      <c r="M167">
        <v>0</v>
      </c>
      <c r="N167">
        <v>2.6</v>
      </c>
      <c r="O167">
        <v>4</v>
      </c>
      <c r="P167">
        <v>7</v>
      </c>
      <c r="Q167">
        <v>5.3</v>
      </c>
      <c r="R167">
        <v>7.1</v>
      </c>
      <c r="S167" t="s">
        <v>6</v>
      </c>
    </row>
    <row r="168" spans="1:19">
      <c r="A168" t="s">
        <v>469</v>
      </c>
      <c r="B168">
        <v>40</v>
      </c>
      <c r="C168" t="s">
        <v>62</v>
      </c>
      <c r="D168" t="s">
        <v>52</v>
      </c>
      <c r="E168" t="s">
        <v>33</v>
      </c>
      <c r="F168" t="s">
        <v>97</v>
      </c>
      <c r="H168">
        <v>1595</v>
      </c>
      <c r="I168" t="s">
        <v>36</v>
      </c>
      <c r="J168" t="s">
        <v>75</v>
      </c>
      <c r="K168">
        <v>1.7</v>
      </c>
      <c r="L168" t="s">
        <v>470</v>
      </c>
      <c r="M168">
        <v>10</v>
      </c>
      <c r="O168">
        <v>2</v>
      </c>
      <c r="P168">
        <v>5</v>
      </c>
      <c r="Q168">
        <v>7.5</v>
      </c>
      <c r="R168">
        <v>9.4</v>
      </c>
      <c r="S168" t="s">
        <v>3</v>
      </c>
    </row>
    <row r="169" spans="1:19">
      <c r="A169" t="s">
        <v>471</v>
      </c>
      <c r="B169">
        <v>61</v>
      </c>
      <c r="C169" t="s">
        <v>40</v>
      </c>
      <c r="D169" t="s">
        <v>63</v>
      </c>
      <c r="E169" t="s">
        <v>33</v>
      </c>
      <c r="F169" t="s">
        <v>48</v>
      </c>
      <c r="G169" t="s">
        <v>472</v>
      </c>
      <c r="H169">
        <v>1884</v>
      </c>
      <c r="I169" t="s">
        <v>79</v>
      </c>
      <c r="J169" t="s">
        <v>37</v>
      </c>
      <c r="K169">
        <v>1.5</v>
      </c>
      <c r="L169" t="s">
        <v>473</v>
      </c>
      <c r="M169">
        <v>10</v>
      </c>
      <c r="N169">
        <v>4.9000000000000004</v>
      </c>
      <c r="P169">
        <v>4</v>
      </c>
      <c r="R169">
        <v>7.7</v>
      </c>
      <c r="S169" t="s">
        <v>6</v>
      </c>
    </row>
    <row r="170" spans="1:19">
      <c r="A170" t="s">
        <v>474</v>
      </c>
      <c r="B170">
        <v>39</v>
      </c>
      <c r="C170" t="s">
        <v>40</v>
      </c>
      <c r="D170" t="s">
        <v>160</v>
      </c>
      <c r="E170" t="s">
        <v>33</v>
      </c>
      <c r="G170" t="s">
        <v>475</v>
      </c>
      <c r="H170">
        <v>1192</v>
      </c>
      <c r="I170" t="s">
        <v>36</v>
      </c>
      <c r="J170" t="s">
        <v>59</v>
      </c>
      <c r="K170">
        <v>1.4</v>
      </c>
      <c r="M170">
        <v>30</v>
      </c>
      <c r="N170">
        <v>3.5</v>
      </c>
      <c r="O170">
        <v>4</v>
      </c>
      <c r="P170">
        <v>6</v>
      </c>
      <c r="Q170">
        <v>3.8</v>
      </c>
      <c r="R170">
        <v>6.7</v>
      </c>
      <c r="S170" t="s">
        <v>6</v>
      </c>
    </row>
    <row r="171" spans="1:19">
      <c r="A171" t="s">
        <v>476</v>
      </c>
      <c r="B171">
        <v>54</v>
      </c>
      <c r="C171" t="s">
        <v>31</v>
      </c>
      <c r="D171" t="s">
        <v>52</v>
      </c>
      <c r="E171" t="s">
        <v>33</v>
      </c>
      <c r="F171" t="s">
        <v>64</v>
      </c>
      <c r="G171" t="s">
        <v>337</v>
      </c>
      <c r="H171">
        <v>983</v>
      </c>
      <c r="I171" t="s">
        <v>66</v>
      </c>
      <c r="J171" t="s">
        <v>88</v>
      </c>
      <c r="K171">
        <v>5</v>
      </c>
      <c r="L171" t="s">
        <v>477</v>
      </c>
      <c r="M171">
        <v>20</v>
      </c>
      <c r="N171">
        <v>7</v>
      </c>
      <c r="O171">
        <v>3</v>
      </c>
      <c r="P171">
        <v>5</v>
      </c>
      <c r="R171">
        <v>9.9</v>
      </c>
      <c r="S171" t="s">
        <v>6</v>
      </c>
    </row>
    <row r="172" spans="1:19">
      <c r="A172" t="s">
        <v>478</v>
      </c>
      <c r="B172">
        <v>34</v>
      </c>
      <c r="C172" t="s">
        <v>40</v>
      </c>
      <c r="D172" t="s">
        <v>113</v>
      </c>
      <c r="E172" t="s">
        <v>33</v>
      </c>
      <c r="F172" t="s">
        <v>97</v>
      </c>
      <c r="G172" t="s">
        <v>479</v>
      </c>
      <c r="H172">
        <v>3878</v>
      </c>
      <c r="J172" t="s">
        <v>37</v>
      </c>
      <c r="K172">
        <v>4.8</v>
      </c>
      <c r="L172" t="s">
        <v>480</v>
      </c>
      <c r="M172">
        <v>30</v>
      </c>
      <c r="N172">
        <v>7.7</v>
      </c>
      <c r="O172">
        <v>3</v>
      </c>
      <c r="P172">
        <v>6</v>
      </c>
      <c r="Q172">
        <v>5.7</v>
      </c>
      <c r="R172">
        <v>8.6999999999999993</v>
      </c>
      <c r="S172" t="s">
        <v>4</v>
      </c>
    </row>
    <row r="173" spans="1:19">
      <c r="A173" t="s">
        <v>481</v>
      </c>
      <c r="B173">
        <v>22</v>
      </c>
      <c r="C173" t="s">
        <v>40</v>
      </c>
      <c r="D173" t="s">
        <v>41</v>
      </c>
      <c r="E173" t="s">
        <v>47</v>
      </c>
      <c r="F173" t="s">
        <v>53</v>
      </c>
      <c r="G173" t="s">
        <v>74</v>
      </c>
      <c r="H173">
        <v>0</v>
      </c>
      <c r="I173" t="s">
        <v>36</v>
      </c>
      <c r="J173" t="s">
        <v>75</v>
      </c>
      <c r="K173">
        <v>3.9</v>
      </c>
      <c r="L173" t="s">
        <v>482</v>
      </c>
      <c r="M173">
        <v>0</v>
      </c>
      <c r="N173">
        <v>6.9</v>
      </c>
      <c r="O173">
        <v>4</v>
      </c>
      <c r="P173">
        <v>9</v>
      </c>
      <c r="Q173">
        <v>6.7</v>
      </c>
      <c r="R173">
        <v>7.3</v>
      </c>
      <c r="S173" t="s">
        <v>6</v>
      </c>
    </row>
    <row r="174" spans="1:19">
      <c r="A174" t="s">
        <v>483</v>
      </c>
      <c r="B174">
        <v>30</v>
      </c>
      <c r="C174" t="s">
        <v>62</v>
      </c>
      <c r="D174" t="s">
        <v>123</v>
      </c>
      <c r="E174" t="s">
        <v>33</v>
      </c>
      <c r="F174" t="s">
        <v>64</v>
      </c>
      <c r="G174" t="s">
        <v>126</v>
      </c>
      <c r="H174">
        <v>6437</v>
      </c>
      <c r="I174" t="s">
        <v>79</v>
      </c>
      <c r="J174" t="s">
        <v>43</v>
      </c>
      <c r="K174">
        <v>1.9</v>
      </c>
      <c r="L174" t="s">
        <v>484</v>
      </c>
      <c r="M174">
        <v>0</v>
      </c>
      <c r="N174">
        <v>4.9000000000000004</v>
      </c>
      <c r="O174">
        <v>5</v>
      </c>
      <c r="P174">
        <v>8</v>
      </c>
      <c r="Q174">
        <v>2.1</v>
      </c>
      <c r="R174">
        <v>6.7</v>
      </c>
      <c r="S174" t="s">
        <v>6</v>
      </c>
    </row>
    <row r="175" spans="1:19">
      <c r="A175" t="s">
        <v>485</v>
      </c>
      <c r="B175">
        <v>32</v>
      </c>
      <c r="C175" t="s">
        <v>62</v>
      </c>
      <c r="D175" t="s">
        <v>96</v>
      </c>
      <c r="E175" t="s">
        <v>47</v>
      </c>
      <c r="F175" t="s">
        <v>97</v>
      </c>
      <c r="G175" t="s">
        <v>141</v>
      </c>
      <c r="H175">
        <v>0</v>
      </c>
      <c r="I175" t="s">
        <v>66</v>
      </c>
      <c r="J175" t="s">
        <v>43</v>
      </c>
      <c r="K175">
        <v>3.9</v>
      </c>
      <c r="L175" t="s">
        <v>486</v>
      </c>
      <c r="M175">
        <v>0</v>
      </c>
      <c r="N175">
        <v>5.7</v>
      </c>
      <c r="O175">
        <v>3</v>
      </c>
      <c r="P175">
        <v>6</v>
      </c>
      <c r="Q175">
        <v>7.3</v>
      </c>
      <c r="R175">
        <v>4.8</v>
      </c>
      <c r="S175" t="s">
        <v>3</v>
      </c>
    </row>
    <row r="176" spans="1:19">
      <c r="A176" t="s">
        <v>487</v>
      </c>
      <c r="B176">
        <v>25</v>
      </c>
      <c r="C176" t="s">
        <v>62</v>
      </c>
      <c r="E176" t="s">
        <v>33</v>
      </c>
      <c r="F176" t="s">
        <v>149</v>
      </c>
      <c r="G176" t="s">
        <v>488</v>
      </c>
      <c r="H176">
        <v>1632</v>
      </c>
      <c r="I176" t="s">
        <v>36</v>
      </c>
      <c r="J176" t="s">
        <v>59</v>
      </c>
      <c r="K176">
        <v>4.4000000000000004</v>
      </c>
      <c r="L176" t="s">
        <v>489</v>
      </c>
      <c r="M176">
        <v>0</v>
      </c>
      <c r="N176">
        <v>7.8</v>
      </c>
      <c r="O176">
        <v>4</v>
      </c>
      <c r="P176">
        <v>9</v>
      </c>
      <c r="Q176">
        <v>7.1</v>
      </c>
      <c r="R176">
        <v>5.8</v>
      </c>
      <c r="S176" t="s">
        <v>6</v>
      </c>
    </row>
    <row r="177" spans="1:19">
      <c r="A177" t="s">
        <v>490</v>
      </c>
      <c r="B177">
        <v>24</v>
      </c>
      <c r="C177" t="s">
        <v>62</v>
      </c>
      <c r="D177" t="s">
        <v>52</v>
      </c>
      <c r="E177" t="s">
        <v>33</v>
      </c>
      <c r="F177" t="s">
        <v>34</v>
      </c>
      <c r="G177" t="s">
        <v>491</v>
      </c>
      <c r="H177">
        <v>1977</v>
      </c>
      <c r="I177" t="s">
        <v>36</v>
      </c>
      <c r="J177" t="s">
        <v>88</v>
      </c>
      <c r="K177">
        <v>0.9</v>
      </c>
      <c r="L177" t="s">
        <v>492</v>
      </c>
      <c r="M177">
        <v>10</v>
      </c>
      <c r="N177">
        <v>4.0999999999999996</v>
      </c>
      <c r="O177">
        <v>3</v>
      </c>
      <c r="P177">
        <v>6</v>
      </c>
      <c r="Q177">
        <v>0</v>
      </c>
      <c r="R177">
        <v>7.3</v>
      </c>
      <c r="S177" t="s">
        <v>3</v>
      </c>
    </row>
    <row r="178" spans="1:19">
      <c r="A178" t="s">
        <v>493</v>
      </c>
      <c r="B178">
        <v>32</v>
      </c>
      <c r="C178" t="s">
        <v>62</v>
      </c>
      <c r="D178" t="s">
        <v>160</v>
      </c>
      <c r="E178" t="s">
        <v>33</v>
      </c>
      <c r="F178" t="s">
        <v>97</v>
      </c>
      <c r="G178" t="s">
        <v>494</v>
      </c>
      <c r="H178">
        <v>486</v>
      </c>
      <c r="I178" t="s">
        <v>36</v>
      </c>
      <c r="J178" t="s">
        <v>59</v>
      </c>
      <c r="K178">
        <v>2</v>
      </c>
      <c r="L178" t="s">
        <v>495</v>
      </c>
      <c r="M178">
        <v>0</v>
      </c>
      <c r="N178">
        <v>6.5</v>
      </c>
      <c r="O178">
        <v>2</v>
      </c>
      <c r="P178">
        <v>5</v>
      </c>
      <c r="Q178">
        <v>3.2</v>
      </c>
      <c r="R178">
        <v>6.4</v>
      </c>
      <c r="S178" t="s">
        <v>6</v>
      </c>
    </row>
    <row r="179" spans="1:19">
      <c r="A179" t="s">
        <v>496</v>
      </c>
      <c r="B179">
        <v>22</v>
      </c>
      <c r="C179" t="s">
        <v>40</v>
      </c>
      <c r="D179" t="s">
        <v>69</v>
      </c>
      <c r="E179" t="s">
        <v>47</v>
      </c>
      <c r="F179" t="s">
        <v>64</v>
      </c>
      <c r="G179" t="s">
        <v>141</v>
      </c>
      <c r="H179">
        <v>442</v>
      </c>
      <c r="I179" t="s">
        <v>36</v>
      </c>
      <c r="J179" t="s">
        <v>43</v>
      </c>
      <c r="K179">
        <v>1</v>
      </c>
      <c r="M179">
        <v>0</v>
      </c>
      <c r="N179">
        <v>3.6</v>
      </c>
      <c r="O179">
        <v>2</v>
      </c>
      <c r="P179">
        <v>5</v>
      </c>
      <c r="Q179">
        <v>0</v>
      </c>
      <c r="R179">
        <v>5.6</v>
      </c>
      <c r="S179" t="s">
        <v>6</v>
      </c>
    </row>
    <row r="180" spans="1:19">
      <c r="A180" t="s">
        <v>497</v>
      </c>
      <c r="B180">
        <v>28</v>
      </c>
      <c r="C180" t="s">
        <v>62</v>
      </c>
      <c r="D180" t="s">
        <v>63</v>
      </c>
      <c r="E180" t="s">
        <v>33</v>
      </c>
      <c r="F180" t="s">
        <v>64</v>
      </c>
      <c r="G180" t="s">
        <v>498</v>
      </c>
      <c r="H180">
        <v>1567</v>
      </c>
      <c r="I180" t="s">
        <v>93</v>
      </c>
      <c r="J180" t="s">
        <v>71</v>
      </c>
      <c r="K180">
        <v>0.7</v>
      </c>
      <c r="L180" t="s">
        <v>499</v>
      </c>
      <c r="M180">
        <v>0</v>
      </c>
      <c r="N180">
        <v>4</v>
      </c>
      <c r="O180">
        <v>3</v>
      </c>
      <c r="P180">
        <v>6</v>
      </c>
      <c r="Q180">
        <v>4.4000000000000004</v>
      </c>
      <c r="R180">
        <v>8.1</v>
      </c>
      <c r="S180" t="s">
        <v>4</v>
      </c>
    </row>
    <row r="181" spans="1:19">
      <c r="A181" t="s">
        <v>500</v>
      </c>
      <c r="B181">
        <v>49</v>
      </c>
      <c r="C181" t="s">
        <v>40</v>
      </c>
      <c r="D181" t="s">
        <v>160</v>
      </c>
      <c r="E181" t="s">
        <v>33</v>
      </c>
      <c r="F181" t="s">
        <v>149</v>
      </c>
      <c r="G181" t="s">
        <v>501</v>
      </c>
      <c r="H181">
        <v>1193</v>
      </c>
      <c r="I181" t="s">
        <v>36</v>
      </c>
      <c r="J181" t="s">
        <v>37</v>
      </c>
      <c r="K181">
        <v>5.8</v>
      </c>
      <c r="L181" t="s">
        <v>502</v>
      </c>
      <c r="M181">
        <v>20</v>
      </c>
      <c r="N181">
        <v>8.1</v>
      </c>
      <c r="O181">
        <v>2</v>
      </c>
      <c r="P181">
        <v>6</v>
      </c>
      <c r="Q181">
        <v>13.5</v>
      </c>
      <c r="R181">
        <v>7.9</v>
      </c>
      <c r="S181" t="s">
        <v>3</v>
      </c>
    </row>
    <row r="182" spans="1:19">
      <c r="A182" t="s">
        <v>503</v>
      </c>
      <c r="B182">
        <v>63</v>
      </c>
      <c r="C182" t="s">
        <v>40</v>
      </c>
      <c r="D182" t="s">
        <v>69</v>
      </c>
      <c r="E182" t="s">
        <v>33</v>
      </c>
      <c r="F182" t="s">
        <v>64</v>
      </c>
      <c r="G182" t="s">
        <v>504</v>
      </c>
      <c r="H182">
        <v>4964</v>
      </c>
      <c r="I182" t="s">
        <v>79</v>
      </c>
      <c r="J182" t="s">
        <v>59</v>
      </c>
      <c r="K182">
        <v>0.7</v>
      </c>
      <c r="L182" t="s">
        <v>505</v>
      </c>
      <c r="M182">
        <v>20</v>
      </c>
      <c r="N182">
        <v>4.3</v>
      </c>
      <c r="O182">
        <v>4</v>
      </c>
      <c r="Q182">
        <v>3.6</v>
      </c>
      <c r="R182">
        <v>7.3</v>
      </c>
      <c r="S182" t="s">
        <v>3</v>
      </c>
    </row>
    <row r="183" spans="1:19">
      <c r="A183" t="s">
        <v>506</v>
      </c>
      <c r="B183">
        <v>17</v>
      </c>
      <c r="C183" t="s">
        <v>40</v>
      </c>
      <c r="D183" t="s">
        <v>82</v>
      </c>
      <c r="E183" t="s">
        <v>47</v>
      </c>
      <c r="F183" t="s">
        <v>97</v>
      </c>
      <c r="G183" t="s">
        <v>74</v>
      </c>
      <c r="H183">
        <v>0</v>
      </c>
      <c r="I183" t="s">
        <v>93</v>
      </c>
      <c r="J183" t="s">
        <v>75</v>
      </c>
      <c r="K183">
        <v>9.5</v>
      </c>
      <c r="L183" t="s">
        <v>507</v>
      </c>
      <c r="M183">
        <v>25</v>
      </c>
      <c r="N183">
        <v>8.6</v>
      </c>
      <c r="O183">
        <v>3</v>
      </c>
      <c r="P183">
        <v>9</v>
      </c>
      <c r="Q183">
        <v>15.2</v>
      </c>
      <c r="R183">
        <v>5.7</v>
      </c>
      <c r="S183" t="s">
        <v>6</v>
      </c>
    </row>
    <row r="184" spans="1:19">
      <c r="A184" t="s">
        <v>508</v>
      </c>
      <c r="C184" t="s">
        <v>31</v>
      </c>
      <c r="D184" t="s">
        <v>113</v>
      </c>
      <c r="E184" t="s">
        <v>47</v>
      </c>
      <c r="F184" t="s">
        <v>64</v>
      </c>
      <c r="G184" t="s">
        <v>74</v>
      </c>
      <c r="H184">
        <v>390</v>
      </c>
      <c r="I184" t="s">
        <v>255</v>
      </c>
      <c r="J184" t="s">
        <v>75</v>
      </c>
      <c r="K184">
        <v>7.9</v>
      </c>
      <c r="L184" t="s">
        <v>509</v>
      </c>
      <c r="M184">
        <v>0</v>
      </c>
      <c r="N184">
        <v>8.9</v>
      </c>
      <c r="O184">
        <v>4</v>
      </c>
      <c r="P184">
        <v>9</v>
      </c>
      <c r="Q184">
        <v>14.2</v>
      </c>
      <c r="R184">
        <v>6</v>
      </c>
      <c r="S184" t="s">
        <v>6</v>
      </c>
    </row>
    <row r="185" spans="1:19">
      <c r="A185" t="s">
        <v>510</v>
      </c>
      <c r="B185">
        <v>36</v>
      </c>
      <c r="C185" t="s">
        <v>40</v>
      </c>
      <c r="D185" t="s">
        <v>160</v>
      </c>
      <c r="E185" t="s">
        <v>33</v>
      </c>
      <c r="F185" t="s">
        <v>149</v>
      </c>
      <c r="G185" t="s">
        <v>511</v>
      </c>
      <c r="H185">
        <v>1378</v>
      </c>
      <c r="I185" t="s">
        <v>87</v>
      </c>
      <c r="J185" t="s">
        <v>43</v>
      </c>
      <c r="K185">
        <v>2.1</v>
      </c>
      <c r="M185">
        <v>0</v>
      </c>
      <c r="N185">
        <v>3.8</v>
      </c>
      <c r="O185">
        <v>4</v>
      </c>
      <c r="P185">
        <v>5</v>
      </c>
      <c r="Q185">
        <v>2.8</v>
      </c>
      <c r="R185">
        <v>7.8</v>
      </c>
      <c r="S185" t="s">
        <v>6</v>
      </c>
    </row>
    <row r="186" spans="1:19">
      <c r="A186" t="s">
        <v>512</v>
      </c>
      <c r="C186" t="s">
        <v>62</v>
      </c>
      <c r="D186" t="s">
        <v>63</v>
      </c>
      <c r="E186" t="s">
        <v>47</v>
      </c>
      <c r="F186" t="s">
        <v>64</v>
      </c>
      <c r="G186" t="s">
        <v>398</v>
      </c>
      <c r="H186">
        <v>243</v>
      </c>
      <c r="I186" t="s">
        <v>66</v>
      </c>
      <c r="J186" t="s">
        <v>59</v>
      </c>
      <c r="K186">
        <v>2.8</v>
      </c>
      <c r="L186" t="s">
        <v>513</v>
      </c>
      <c r="M186">
        <v>100</v>
      </c>
      <c r="N186">
        <v>5.4</v>
      </c>
      <c r="O186">
        <v>3</v>
      </c>
      <c r="P186">
        <v>6</v>
      </c>
      <c r="Q186">
        <v>6.8</v>
      </c>
      <c r="R186">
        <v>8.5</v>
      </c>
      <c r="S186" t="s">
        <v>6</v>
      </c>
    </row>
    <row r="187" spans="1:19">
      <c r="A187" t="s">
        <v>514</v>
      </c>
      <c r="B187">
        <v>38</v>
      </c>
      <c r="C187" t="s">
        <v>62</v>
      </c>
      <c r="D187" t="s">
        <v>160</v>
      </c>
      <c r="E187" t="s">
        <v>33</v>
      </c>
      <c r="F187" t="s">
        <v>149</v>
      </c>
      <c r="G187" t="s">
        <v>515</v>
      </c>
      <c r="H187">
        <v>1148</v>
      </c>
      <c r="I187" t="s">
        <v>161</v>
      </c>
      <c r="J187" t="s">
        <v>75</v>
      </c>
      <c r="K187">
        <v>4.3</v>
      </c>
      <c r="L187" t="s">
        <v>516</v>
      </c>
      <c r="M187">
        <v>50</v>
      </c>
      <c r="N187">
        <v>7.2</v>
      </c>
      <c r="O187">
        <v>5</v>
      </c>
      <c r="P187">
        <v>7</v>
      </c>
      <c r="Q187">
        <v>4.8</v>
      </c>
      <c r="R187">
        <v>5.9</v>
      </c>
      <c r="S187" t="s">
        <v>6</v>
      </c>
    </row>
    <row r="188" spans="1:19">
      <c r="A188" t="s">
        <v>517</v>
      </c>
      <c r="B188">
        <v>21</v>
      </c>
      <c r="C188" t="s">
        <v>40</v>
      </c>
      <c r="D188" t="s">
        <v>41</v>
      </c>
      <c r="E188" t="s">
        <v>47</v>
      </c>
      <c r="F188" t="s">
        <v>53</v>
      </c>
      <c r="G188" t="s">
        <v>141</v>
      </c>
      <c r="H188">
        <v>0</v>
      </c>
      <c r="I188" t="s">
        <v>255</v>
      </c>
      <c r="J188" t="s">
        <v>43</v>
      </c>
      <c r="K188">
        <v>2.9</v>
      </c>
      <c r="L188" t="s">
        <v>518</v>
      </c>
      <c r="M188">
        <v>20</v>
      </c>
      <c r="N188">
        <v>6.6</v>
      </c>
      <c r="O188">
        <v>2</v>
      </c>
      <c r="P188">
        <v>4</v>
      </c>
      <c r="R188">
        <v>5.5</v>
      </c>
      <c r="S188" t="s">
        <v>5</v>
      </c>
    </row>
    <row r="189" spans="1:19">
      <c r="A189" t="s">
        <v>519</v>
      </c>
      <c r="B189">
        <v>27</v>
      </c>
      <c r="C189" t="s">
        <v>62</v>
      </c>
      <c r="D189" t="s">
        <v>91</v>
      </c>
      <c r="E189" t="s">
        <v>47</v>
      </c>
      <c r="F189" t="s">
        <v>97</v>
      </c>
      <c r="G189" t="s">
        <v>520</v>
      </c>
      <c r="H189">
        <v>482</v>
      </c>
      <c r="I189" t="s">
        <v>255</v>
      </c>
      <c r="J189" t="s">
        <v>71</v>
      </c>
      <c r="K189">
        <v>6</v>
      </c>
      <c r="L189" t="s">
        <v>521</v>
      </c>
      <c r="M189">
        <v>0</v>
      </c>
      <c r="N189">
        <v>7.6</v>
      </c>
      <c r="O189">
        <v>5</v>
      </c>
      <c r="P189">
        <v>8</v>
      </c>
      <c r="Q189">
        <v>13.1</v>
      </c>
      <c r="R189">
        <v>6.8</v>
      </c>
      <c r="S189" t="s">
        <v>6</v>
      </c>
    </row>
    <row r="190" spans="1:19">
      <c r="A190" t="s">
        <v>522</v>
      </c>
      <c r="B190">
        <v>22</v>
      </c>
      <c r="C190" t="s">
        <v>62</v>
      </c>
      <c r="D190" t="s">
        <v>113</v>
      </c>
      <c r="E190" t="s">
        <v>47</v>
      </c>
      <c r="F190" t="s">
        <v>53</v>
      </c>
      <c r="G190" t="s">
        <v>49</v>
      </c>
      <c r="H190">
        <v>600</v>
      </c>
      <c r="I190" t="s">
        <v>36</v>
      </c>
      <c r="J190" t="s">
        <v>102</v>
      </c>
      <c r="K190">
        <v>1.4</v>
      </c>
      <c r="L190" t="s">
        <v>523</v>
      </c>
      <c r="M190">
        <v>25</v>
      </c>
      <c r="N190">
        <v>2.9</v>
      </c>
      <c r="O190">
        <v>4</v>
      </c>
      <c r="P190">
        <v>4</v>
      </c>
      <c r="Q190">
        <v>4.5999999999999996</v>
      </c>
      <c r="R190">
        <v>4.9000000000000004</v>
      </c>
      <c r="S190" t="s">
        <v>4</v>
      </c>
    </row>
    <row r="191" spans="1:19">
      <c r="A191" t="s">
        <v>524</v>
      </c>
      <c r="B191">
        <v>31</v>
      </c>
      <c r="C191" t="s">
        <v>62</v>
      </c>
      <c r="D191" t="s">
        <v>69</v>
      </c>
      <c r="E191" t="s">
        <v>33</v>
      </c>
      <c r="F191" t="s">
        <v>64</v>
      </c>
      <c r="G191" t="s">
        <v>504</v>
      </c>
      <c r="I191" t="s">
        <v>93</v>
      </c>
      <c r="J191" t="s">
        <v>59</v>
      </c>
      <c r="K191">
        <v>3.4</v>
      </c>
      <c r="L191" t="s">
        <v>525</v>
      </c>
      <c r="M191">
        <v>0</v>
      </c>
      <c r="N191">
        <v>4.8</v>
      </c>
      <c r="O191">
        <v>2</v>
      </c>
      <c r="P191">
        <v>5</v>
      </c>
      <c r="Q191">
        <v>6</v>
      </c>
      <c r="R191">
        <v>7.5</v>
      </c>
      <c r="S191" t="s">
        <v>4</v>
      </c>
    </row>
    <row r="192" spans="1:19">
      <c r="A192" t="s">
        <v>526</v>
      </c>
      <c r="B192">
        <v>21</v>
      </c>
      <c r="C192" t="s">
        <v>40</v>
      </c>
      <c r="D192" t="s">
        <v>96</v>
      </c>
      <c r="E192" t="s">
        <v>47</v>
      </c>
      <c r="F192" t="s">
        <v>53</v>
      </c>
      <c r="G192" t="s">
        <v>78</v>
      </c>
      <c r="H192">
        <v>387</v>
      </c>
      <c r="I192" t="s">
        <v>36</v>
      </c>
      <c r="J192" t="s">
        <v>43</v>
      </c>
      <c r="K192">
        <v>5.8</v>
      </c>
      <c r="L192" t="s">
        <v>527</v>
      </c>
      <c r="M192">
        <v>30</v>
      </c>
      <c r="N192">
        <v>6.9</v>
      </c>
      <c r="O192">
        <v>4</v>
      </c>
      <c r="P192">
        <v>8</v>
      </c>
      <c r="Q192">
        <v>10.199999999999999</v>
      </c>
      <c r="R192">
        <v>4.8</v>
      </c>
      <c r="S192" t="s">
        <v>6</v>
      </c>
    </row>
    <row r="193" spans="1:19">
      <c r="A193" t="s">
        <v>528</v>
      </c>
      <c r="C193" t="s">
        <v>62</v>
      </c>
      <c r="D193" t="s">
        <v>32</v>
      </c>
      <c r="E193" t="s">
        <v>33</v>
      </c>
      <c r="F193" t="s">
        <v>97</v>
      </c>
      <c r="G193" t="s">
        <v>137</v>
      </c>
      <c r="H193">
        <v>557</v>
      </c>
      <c r="I193" t="s">
        <v>36</v>
      </c>
      <c r="J193" t="s">
        <v>138</v>
      </c>
      <c r="K193">
        <v>9.9</v>
      </c>
      <c r="M193">
        <v>0</v>
      </c>
      <c r="N193">
        <v>8.8000000000000007</v>
      </c>
      <c r="O193">
        <v>5</v>
      </c>
      <c r="P193">
        <v>9</v>
      </c>
      <c r="Q193">
        <v>16.2</v>
      </c>
      <c r="R193">
        <v>8.5</v>
      </c>
      <c r="S193" t="s">
        <v>6</v>
      </c>
    </row>
    <row r="194" spans="1:19">
      <c r="A194" t="s">
        <v>529</v>
      </c>
      <c r="B194">
        <v>32</v>
      </c>
      <c r="C194" t="s">
        <v>62</v>
      </c>
      <c r="D194" t="s">
        <v>160</v>
      </c>
      <c r="E194" t="s">
        <v>33</v>
      </c>
      <c r="F194" t="s">
        <v>48</v>
      </c>
      <c r="G194" t="s">
        <v>530</v>
      </c>
      <c r="H194">
        <v>1141</v>
      </c>
      <c r="I194" t="s">
        <v>58</v>
      </c>
      <c r="J194" t="s">
        <v>88</v>
      </c>
      <c r="K194">
        <v>0.5</v>
      </c>
      <c r="L194" t="s">
        <v>531</v>
      </c>
      <c r="M194">
        <v>10</v>
      </c>
      <c r="N194">
        <v>5.8</v>
      </c>
      <c r="O194">
        <v>4</v>
      </c>
      <c r="P194">
        <v>8</v>
      </c>
      <c r="Q194">
        <v>2.7</v>
      </c>
      <c r="R194">
        <v>8.6999999999999993</v>
      </c>
      <c r="S194" t="s">
        <v>6</v>
      </c>
    </row>
    <row r="195" spans="1:19">
      <c r="A195" t="s">
        <v>532</v>
      </c>
      <c r="B195">
        <v>40</v>
      </c>
      <c r="C195" t="s">
        <v>62</v>
      </c>
      <c r="D195" t="s">
        <v>52</v>
      </c>
      <c r="E195" t="s">
        <v>33</v>
      </c>
      <c r="F195" t="s">
        <v>48</v>
      </c>
      <c r="G195" t="s">
        <v>275</v>
      </c>
      <c r="H195">
        <v>1575</v>
      </c>
      <c r="I195" t="s">
        <v>36</v>
      </c>
      <c r="J195" t="s">
        <v>37</v>
      </c>
      <c r="K195">
        <v>0.7</v>
      </c>
      <c r="L195" t="s">
        <v>533</v>
      </c>
      <c r="M195">
        <v>0</v>
      </c>
      <c r="N195">
        <v>3.8</v>
      </c>
      <c r="O195">
        <v>4</v>
      </c>
      <c r="P195">
        <v>8</v>
      </c>
      <c r="Q195">
        <v>0.6</v>
      </c>
      <c r="R195">
        <v>8.3000000000000007</v>
      </c>
      <c r="S195" t="s">
        <v>4</v>
      </c>
    </row>
    <row r="196" spans="1:19">
      <c r="A196" t="s">
        <v>534</v>
      </c>
      <c r="B196">
        <v>34</v>
      </c>
      <c r="C196" t="s">
        <v>62</v>
      </c>
      <c r="D196" t="s">
        <v>52</v>
      </c>
      <c r="E196" t="s">
        <v>33</v>
      </c>
      <c r="F196" t="s">
        <v>34</v>
      </c>
      <c r="G196" t="s">
        <v>535</v>
      </c>
      <c r="H196">
        <v>1188</v>
      </c>
      <c r="I196" t="s">
        <v>87</v>
      </c>
      <c r="J196" t="s">
        <v>138</v>
      </c>
      <c r="K196">
        <v>0.7</v>
      </c>
      <c r="L196" t="s">
        <v>536</v>
      </c>
      <c r="M196">
        <v>0</v>
      </c>
      <c r="N196">
        <v>4.7</v>
      </c>
      <c r="O196">
        <v>2</v>
      </c>
      <c r="P196">
        <v>5</v>
      </c>
      <c r="Q196">
        <v>0.6</v>
      </c>
      <c r="R196">
        <v>8.5</v>
      </c>
      <c r="S196" t="s">
        <v>5</v>
      </c>
    </row>
    <row r="197" spans="1:19">
      <c r="A197" t="s">
        <v>537</v>
      </c>
      <c r="B197">
        <v>19</v>
      </c>
      <c r="C197" t="s">
        <v>62</v>
      </c>
      <c r="D197" t="s">
        <v>41</v>
      </c>
      <c r="E197" t="s">
        <v>47</v>
      </c>
      <c r="F197" t="s">
        <v>53</v>
      </c>
      <c r="G197" t="s">
        <v>74</v>
      </c>
      <c r="H197">
        <v>58</v>
      </c>
      <c r="I197" t="s">
        <v>36</v>
      </c>
      <c r="J197" t="s">
        <v>75</v>
      </c>
      <c r="K197">
        <v>6.3</v>
      </c>
      <c r="L197" t="s">
        <v>538</v>
      </c>
      <c r="M197">
        <v>0</v>
      </c>
      <c r="N197">
        <v>8.8000000000000007</v>
      </c>
      <c r="O197">
        <v>3</v>
      </c>
      <c r="P197">
        <v>8</v>
      </c>
      <c r="Q197">
        <v>10</v>
      </c>
      <c r="R197">
        <v>7.3</v>
      </c>
      <c r="S197" t="s">
        <v>6</v>
      </c>
    </row>
    <row r="198" spans="1:19">
      <c r="A198" t="s">
        <v>539</v>
      </c>
      <c r="B198">
        <v>32</v>
      </c>
      <c r="C198" t="s">
        <v>40</v>
      </c>
      <c r="D198" t="s">
        <v>63</v>
      </c>
      <c r="E198" t="s">
        <v>47</v>
      </c>
      <c r="F198" t="s">
        <v>97</v>
      </c>
      <c r="G198" t="s">
        <v>74</v>
      </c>
      <c r="H198">
        <v>152</v>
      </c>
      <c r="I198" t="s">
        <v>93</v>
      </c>
      <c r="J198" t="s">
        <v>75</v>
      </c>
      <c r="K198">
        <v>0.5</v>
      </c>
      <c r="L198" t="s">
        <v>540</v>
      </c>
      <c r="M198">
        <v>10</v>
      </c>
      <c r="N198">
        <v>2.2999999999999998</v>
      </c>
      <c r="O198">
        <v>5</v>
      </c>
      <c r="P198">
        <v>7</v>
      </c>
      <c r="Q198">
        <v>3.1</v>
      </c>
      <c r="R198">
        <v>5.9</v>
      </c>
      <c r="S198" t="s">
        <v>6</v>
      </c>
    </row>
    <row r="199" spans="1:19">
      <c r="A199" t="s">
        <v>541</v>
      </c>
      <c r="B199">
        <v>29</v>
      </c>
      <c r="C199" t="s">
        <v>40</v>
      </c>
      <c r="D199" t="s">
        <v>69</v>
      </c>
      <c r="E199" t="s">
        <v>33</v>
      </c>
      <c r="F199" t="s">
        <v>64</v>
      </c>
      <c r="G199" t="s">
        <v>542</v>
      </c>
      <c r="I199" t="s">
        <v>36</v>
      </c>
      <c r="J199" t="s">
        <v>88</v>
      </c>
      <c r="K199">
        <v>1</v>
      </c>
      <c r="N199">
        <v>4</v>
      </c>
      <c r="O199">
        <v>3</v>
      </c>
      <c r="P199">
        <v>6</v>
      </c>
      <c r="Q199">
        <v>2.7</v>
      </c>
      <c r="R199">
        <v>8</v>
      </c>
      <c r="S199" t="s">
        <v>3</v>
      </c>
    </row>
    <row r="200" spans="1:19">
      <c r="A200" t="s">
        <v>543</v>
      </c>
      <c r="B200">
        <v>30</v>
      </c>
      <c r="C200" t="s">
        <v>62</v>
      </c>
      <c r="D200" t="s">
        <v>82</v>
      </c>
      <c r="E200" t="s">
        <v>33</v>
      </c>
      <c r="F200" t="s">
        <v>48</v>
      </c>
      <c r="G200" t="s">
        <v>455</v>
      </c>
      <c r="H200">
        <v>1262</v>
      </c>
      <c r="I200" t="s">
        <v>79</v>
      </c>
      <c r="J200" t="s">
        <v>88</v>
      </c>
      <c r="K200">
        <v>8.5</v>
      </c>
      <c r="M200">
        <v>20</v>
      </c>
      <c r="N200">
        <v>8.6999999999999993</v>
      </c>
      <c r="O200">
        <v>5</v>
      </c>
      <c r="P200">
        <v>8</v>
      </c>
      <c r="Q200">
        <v>15.6</v>
      </c>
      <c r="S200" t="s">
        <v>6</v>
      </c>
    </row>
    <row r="201" spans="1:19">
      <c r="A201" t="s">
        <v>544</v>
      </c>
      <c r="B201">
        <v>49</v>
      </c>
      <c r="C201" t="s">
        <v>62</v>
      </c>
      <c r="D201" t="s">
        <v>113</v>
      </c>
      <c r="E201" t="s">
        <v>33</v>
      </c>
      <c r="F201" t="s">
        <v>34</v>
      </c>
      <c r="G201" t="s">
        <v>545</v>
      </c>
      <c r="H201">
        <v>2690</v>
      </c>
      <c r="I201" t="s">
        <v>255</v>
      </c>
      <c r="J201" t="s">
        <v>43</v>
      </c>
      <c r="K201">
        <v>0.6</v>
      </c>
      <c r="L201" t="s">
        <v>546</v>
      </c>
      <c r="M201">
        <v>10</v>
      </c>
      <c r="N201">
        <v>1.6</v>
      </c>
      <c r="P201">
        <v>3</v>
      </c>
      <c r="Q201">
        <v>2.2000000000000002</v>
      </c>
      <c r="R201">
        <v>6.5</v>
      </c>
      <c r="S201" t="s">
        <v>4</v>
      </c>
    </row>
    <row r="202" spans="1:19">
      <c r="A202" t="s">
        <v>547</v>
      </c>
      <c r="B202">
        <v>21</v>
      </c>
      <c r="C202" t="s">
        <v>62</v>
      </c>
      <c r="D202" t="s">
        <v>96</v>
      </c>
      <c r="E202" t="s">
        <v>47</v>
      </c>
      <c r="F202" t="s">
        <v>53</v>
      </c>
      <c r="G202" t="s">
        <v>74</v>
      </c>
      <c r="H202">
        <v>678</v>
      </c>
      <c r="I202" t="s">
        <v>36</v>
      </c>
      <c r="J202" t="s">
        <v>75</v>
      </c>
      <c r="K202">
        <v>3</v>
      </c>
      <c r="L202" t="s">
        <v>548</v>
      </c>
      <c r="M202">
        <v>0</v>
      </c>
      <c r="N202">
        <v>4</v>
      </c>
      <c r="O202">
        <v>4</v>
      </c>
      <c r="P202">
        <v>6</v>
      </c>
      <c r="Q202">
        <v>7.1</v>
      </c>
      <c r="R202">
        <v>6.7</v>
      </c>
      <c r="S202" t="s">
        <v>4</v>
      </c>
    </row>
    <row r="203" spans="1:19">
      <c r="A203" t="s">
        <v>549</v>
      </c>
      <c r="B203">
        <v>32</v>
      </c>
      <c r="C203" t="s">
        <v>40</v>
      </c>
      <c r="D203" t="s">
        <v>52</v>
      </c>
      <c r="E203" t="s">
        <v>47</v>
      </c>
      <c r="F203" t="s">
        <v>64</v>
      </c>
      <c r="G203" t="s">
        <v>237</v>
      </c>
      <c r="H203">
        <v>110</v>
      </c>
      <c r="I203" t="s">
        <v>36</v>
      </c>
      <c r="J203" t="s">
        <v>71</v>
      </c>
      <c r="K203">
        <v>3.3</v>
      </c>
      <c r="M203">
        <v>0</v>
      </c>
      <c r="N203">
        <v>6.3</v>
      </c>
      <c r="O203">
        <v>5</v>
      </c>
      <c r="P203">
        <v>10</v>
      </c>
      <c r="Q203">
        <v>5.9</v>
      </c>
      <c r="R203">
        <v>8.1999999999999993</v>
      </c>
      <c r="S203" t="s">
        <v>6</v>
      </c>
    </row>
    <row r="204" spans="1:19">
      <c r="A204" t="s">
        <v>550</v>
      </c>
      <c r="B204">
        <v>35</v>
      </c>
      <c r="C204" t="s">
        <v>40</v>
      </c>
      <c r="D204" t="s">
        <v>63</v>
      </c>
      <c r="E204" t="s">
        <v>33</v>
      </c>
      <c r="F204" t="s">
        <v>64</v>
      </c>
      <c r="G204" t="s">
        <v>551</v>
      </c>
      <c r="H204">
        <v>1991</v>
      </c>
      <c r="I204" t="s">
        <v>79</v>
      </c>
      <c r="J204" t="s">
        <v>43</v>
      </c>
      <c r="K204">
        <v>1.7</v>
      </c>
      <c r="L204" t="s">
        <v>552</v>
      </c>
      <c r="M204">
        <v>10</v>
      </c>
      <c r="N204">
        <v>4</v>
      </c>
      <c r="O204">
        <v>4</v>
      </c>
      <c r="P204">
        <v>6</v>
      </c>
      <c r="Q204">
        <v>6.2</v>
      </c>
      <c r="R204">
        <v>7.3</v>
      </c>
      <c r="S204" t="s">
        <v>6</v>
      </c>
    </row>
    <row r="205" spans="1:19">
      <c r="A205" t="s">
        <v>553</v>
      </c>
      <c r="B205">
        <v>47</v>
      </c>
      <c r="C205" t="s">
        <v>40</v>
      </c>
      <c r="D205" t="s">
        <v>123</v>
      </c>
      <c r="E205" t="s">
        <v>33</v>
      </c>
      <c r="F205" t="s">
        <v>149</v>
      </c>
      <c r="G205" t="s">
        <v>554</v>
      </c>
      <c r="H205">
        <v>7690</v>
      </c>
      <c r="I205" t="s">
        <v>66</v>
      </c>
      <c r="J205" t="s">
        <v>43</v>
      </c>
      <c r="K205">
        <v>0.5</v>
      </c>
      <c r="L205" t="s">
        <v>555</v>
      </c>
      <c r="N205">
        <v>2</v>
      </c>
      <c r="O205">
        <v>2</v>
      </c>
      <c r="P205">
        <v>3</v>
      </c>
      <c r="Q205">
        <v>2.7</v>
      </c>
      <c r="R205">
        <v>10.4</v>
      </c>
      <c r="S205" t="s">
        <v>4</v>
      </c>
    </row>
    <row r="206" spans="1:19">
      <c r="A206" t="s">
        <v>556</v>
      </c>
      <c r="B206">
        <v>24</v>
      </c>
      <c r="C206" t="s">
        <v>62</v>
      </c>
      <c r="D206" t="s">
        <v>123</v>
      </c>
      <c r="E206" t="s">
        <v>47</v>
      </c>
      <c r="G206" t="s">
        <v>232</v>
      </c>
      <c r="H206">
        <v>444</v>
      </c>
      <c r="I206" t="s">
        <v>79</v>
      </c>
      <c r="J206" t="s">
        <v>102</v>
      </c>
      <c r="K206">
        <v>1.2</v>
      </c>
      <c r="L206" t="s">
        <v>557</v>
      </c>
      <c r="M206">
        <v>0</v>
      </c>
      <c r="N206">
        <v>3.8</v>
      </c>
      <c r="O206">
        <v>3</v>
      </c>
      <c r="P206">
        <v>5</v>
      </c>
      <c r="Q206">
        <v>3</v>
      </c>
      <c r="R206">
        <v>7.2</v>
      </c>
      <c r="S206" t="s">
        <v>4</v>
      </c>
    </row>
    <row r="207" spans="1:19">
      <c r="A207" t="s">
        <v>558</v>
      </c>
      <c r="B207">
        <v>26</v>
      </c>
      <c r="C207" t="s">
        <v>62</v>
      </c>
      <c r="D207" t="s">
        <v>63</v>
      </c>
      <c r="E207" t="s">
        <v>47</v>
      </c>
      <c r="F207" t="s">
        <v>53</v>
      </c>
      <c r="G207" t="s">
        <v>559</v>
      </c>
      <c r="H207">
        <v>73</v>
      </c>
      <c r="I207" t="s">
        <v>36</v>
      </c>
      <c r="J207" t="s">
        <v>75</v>
      </c>
      <c r="L207" t="s">
        <v>560</v>
      </c>
      <c r="M207">
        <v>0</v>
      </c>
      <c r="N207">
        <v>3.4</v>
      </c>
      <c r="O207">
        <v>2</v>
      </c>
      <c r="P207">
        <v>4</v>
      </c>
      <c r="Q207">
        <v>1.5</v>
      </c>
      <c r="R207">
        <v>5.8</v>
      </c>
      <c r="S207" t="s">
        <v>6</v>
      </c>
    </row>
    <row r="208" spans="1:19">
      <c r="A208" t="s">
        <v>561</v>
      </c>
      <c r="B208">
        <v>16</v>
      </c>
      <c r="C208" t="s">
        <v>62</v>
      </c>
      <c r="D208" t="s">
        <v>160</v>
      </c>
      <c r="E208" t="s">
        <v>47</v>
      </c>
      <c r="F208" t="s">
        <v>53</v>
      </c>
      <c r="G208" t="s">
        <v>398</v>
      </c>
      <c r="H208">
        <v>132</v>
      </c>
      <c r="I208" t="s">
        <v>66</v>
      </c>
      <c r="J208" t="s">
        <v>59</v>
      </c>
      <c r="K208">
        <v>1.6</v>
      </c>
      <c r="L208" t="s">
        <v>562</v>
      </c>
      <c r="M208">
        <v>30</v>
      </c>
      <c r="N208">
        <v>4.7</v>
      </c>
      <c r="O208">
        <v>4</v>
      </c>
      <c r="P208">
        <v>6</v>
      </c>
      <c r="Q208">
        <v>3.8</v>
      </c>
      <c r="R208">
        <v>3.8</v>
      </c>
      <c r="S208" t="s">
        <v>6</v>
      </c>
    </row>
    <row r="209" spans="1:19">
      <c r="A209" t="s">
        <v>563</v>
      </c>
      <c r="B209">
        <v>23</v>
      </c>
      <c r="C209" t="s">
        <v>40</v>
      </c>
      <c r="D209" t="s">
        <v>52</v>
      </c>
      <c r="E209" t="s">
        <v>47</v>
      </c>
      <c r="F209" t="s">
        <v>53</v>
      </c>
      <c r="G209" t="s">
        <v>131</v>
      </c>
      <c r="H209">
        <v>100</v>
      </c>
      <c r="I209" t="s">
        <v>87</v>
      </c>
      <c r="J209" t="s">
        <v>59</v>
      </c>
      <c r="L209" t="s">
        <v>564</v>
      </c>
      <c r="M209">
        <v>25</v>
      </c>
      <c r="N209">
        <v>4.7</v>
      </c>
      <c r="O209">
        <v>3</v>
      </c>
      <c r="P209">
        <v>5</v>
      </c>
      <c r="Q209">
        <v>2.1</v>
      </c>
      <c r="R209">
        <v>6</v>
      </c>
      <c r="S209" t="s">
        <v>6</v>
      </c>
    </row>
    <row r="210" spans="1:19">
      <c r="A210" t="s">
        <v>565</v>
      </c>
      <c r="B210">
        <v>28</v>
      </c>
      <c r="C210" t="s">
        <v>40</v>
      </c>
      <c r="D210" t="s">
        <v>160</v>
      </c>
      <c r="E210" t="s">
        <v>33</v>
      </c>
      <c r="F210" t="s">
        <v>64</v>
      </c>
      <c r="G210" t="s">
        <v>566</v>
      </c>
      <c r="H210">
        <v>392</v>
      </c>
      <c r="I210" t="s">
        <v>36</v>
      </c>
      <c r="J210" t="s">
        <v>59</v>
      </c>
      <c r="K210">
        <v>1.6</v>
      </c>
      <c r="L210" t="s">
        <v>567</v>
      </c>
      <c r="M210">
        <v>10</v>
      </c>
      <c r="N210">
        <v>4</v>
      </c>
      <c r="O210">
        <v>2</v>
      </c>
      <c r="P210">
        <v>3</v>
      </c>
      <c r="Q210">
        <v>4.5</v>
      </c>
      <c r="R210">
        <v>7.8</v>
      </c>
      <c r="S210" t="s">
        <v>6</v>
      </c>
    </row>
    <row r="211" spans="1:19">
      <c r="A211" t="s">
        <v>568</v>
      </c>
      <c r="B211">
        <v>97</v>
      </c>
      <c r="C211" t="s">
        <v>40</v>
      </c>
      <c r="D211" t="s">
        <v>113</v>
      </c>
      <c r="E211" t="s">
        <v>47</v>
      </c>
      <c r="F211" t="s">
        <v>53</v>
      </c>
      <c r="G211" t="s">
        <v>108</v>
      </c>
      <c r="H211">
        <v>243</v>
      </c>
      <c r="I211" t="s">
        <v>93</v>
      </c>
      <c r="J211" t="s">
        <v>102</v>
      </c>
      <c r="K211">
        <v>0.8</v>
      </c>
      <c r="L211" t="s">
        <v>569</v>
      </c>
      <c r="M211">
        <v>0</v>
      </c>
      <c r="N211">
        <v>2.5</v>
      </c>
      <c r="O211">
        <v>3</v>
      </c>
      <c r="P211">
        <v>5</v>
      </c>
      <c r="Q211">
        <v>1.3</v>
      </c>
      <c r="R211">
        <v>6.8</v>
      </c>
      <c r="S211" t="s">
        <v>4</v>
      </c>
    </row>
    <row r="212" spans="1:19">
      <c r="A212" t="s">
        <v>570</v>
      </c>
      <c r="B212">
        <v>22</v>
      </c>
      <c r="C212" t="s">
        <v>62</v>
      </c>
      <c r="D212" t="s">
        <v>96</v>
      </c>
      <c r="E212" t="s">
        <v>47</v>
      </c>
      <c r="F212" t="s">
        <v>53</v>
      </c>
      <c r="G212" t="s">
        <v>232</v>
      </c>
      <c r="H212">
        <v>547</v>
      </c>
      <c r="I212" t="s">
        <v>66</v>
      </c>
      <c r="J212" t="s">
        <v>71</v>
      </c>
      <c r="K212">
        <v>5</v>
      </c>
      <c r="L212" t="s">
        <v>571</v>
      </c>
      <c r="M212">
        <v>0</v>
      </c>
      <c r="N212">
        <v>6.6</v>
      </c>
      <c r="O212">
        <v>3</v>
      </c>
      <c r="P212">
        <v>6</v>
      </c>
      <c r="Q212">
        <v>9.8000000000000007</v>
      </c>
      <c r="R212">
        <v>5.6</v>
      </c>
      <c r="S212" t="s">
        <v>4</v>
      </c>
    </row>
    <row r="213" spans="1:19">
      <c r="A213" t="s">
        <v>572</v>
      </c>
      <c r="B213">
        <v>22</v>
      </c>
      <c r="C213" t="s">
        <v>40</v>
      </c>
      <c r="D213" t="s">
        <v>52</v>
      </c>
      <c r="E213" t="s">
        <v>47</v>
      </c>
      <c r="F213" t="s">
        <v>53</v>
      </c>
      <c r="G213" t="s">
        <v>131</v>
      </c>
      <c r="H213">
        <v>0</v>
      </c>
      <c r="I213" t="s">
        <v>93</v>
      </c>
      <c r="J213" t="s">
        <v>59</v>
      </c>
      <c r="K213">
        <v>0.7</v>
      </c>
      <c r="L213" t="s">
        <v>573</v>
      </c>
      <c r="M213">
        <v>30</v>
      </c>
      <c r="N213">
        <v>3.4</v>
      </c>
      <c r="O213">
        <v>4</v>
      </c>
      <c r="P213">
        <v>6</v>
      </c>
      <c r="Q213">
        <v>5.9</v>
      </c>
      <c r="R213">
        <v>5.4</v>
      </c>
      <c r="S213" t="s">
        <v>4</v>
      </c>
    </row>
    <row r="214" spans="1:19">
      <c r="A214" t="s">
        <v>574</v>
      </c>
      <c r="B214">
        <v>22</v>
      </c>
      <c r="C214" t="s">
        <v>40</v>
      </c>
      <c r="E214" t="s">
        <v>47</v>
      </c>
      <c r="F214" t="s">
        <v>64</v>
      </c>
      <c r="G214" t="s">
        <v>575</v>
      </c>
      <c r="H214">
        <v>0</v>
      </c>
      <c r="I214" t="s">
        <v>36</v>
      </c>
      <c r="J214" t="s">
        <v>75</v>
      </c>
      <c r="K214">
        <v>2.5</v>
      </c>
      <c r="L214" t="s">
        <v>576</v>
      </c>
      <c r="M214">
        <v>10</v>
      </c>
      <c r="N214">
        <v>5.2</v>
      </c>
      <c r="O214">
        <v>2</v>
      </c>
      <c r="P214">
        <v>5</v>
      </c>
      <c r="Q214">
        <v>4.4000000000000004</v>
      </c>
      <c r="R214">
        <v>7.8</v>
      </c>
      <c r="S214" t="s">
        <v>4</v>
      </c>
    </row>
    <row r="215" spans="1:19">
      <c r="A215" t="s">
        <v>577</v>
      </c>
      <c r="B215">
        <v>18</v>
      </c>
      <c r="C215" t="s">
        <v>62</v>
      </c>
      <c r="D215" t="s">
        <v>160</v>
      </c>
      <c r="E215" t="s">
        <v>47</v>
      </c>
      <c r="F215" t="s">
        <v>53</v>
      </c>
      <c r="G215" t="s">
        <v>74</v>
      </c>
      <c r="H215">
        <v>192</v>
      </c>
      <c r="I215" t="s">
        <v>36</v>
      </c>
      <c r="J215" t="s">
        <v>75</v>
      </c>
      <c r="K215">
        <v>3.8</v>
      </c>
      <c r="L215" t="s">
        <v>578</v>
      </c>
      <c r="M215">
        <v>0</v>
      </c>
      <c r="N215">
        <v>6.5</v>
      </c>
      <c r="O215">
        <v>4</v>
      </c>
      <c r="P215">
        <v>9</v>
      </c>
      <c r="Q215">
        <v>7</v>
      </c>
      <c r="R215">
        <v>7.6</v>
      </c>
      <c r="S215" t="s">
        <v>6</v>
      </c>
    </row>
    <row r="216" spans="1:19">
      <c r="A216" t="s">
        <v>579</v>
      </c>
      <c r="B216">
        <v>23</v>
      </c>
      <c r="C216" t="s">
        <v>62</v>
      </c>
      <c r="D216" t="s">
        <v>52</v>
      </c>
      <c r="E216" t="s">
        <v>47</v>
      </c>
      <c r="F216" t="s">
        <v>48</v>
      </c>
      <c r="G216" t="s">
        <v>74</v>
      </c>
      <c r="H216">
        <v>109</v>
      </c>
      <c r="I216" t="s">
        <v>79</v>
      </c>
      <c r="J216" t="s">
        <v>75</v>
      </c>
      <c r="K216">
        <v>1.5</v>
      </c>
      <c r="L216" t="s">
        <v>580</v>
      </c>
      <c r="M216">
        <v>20</v>
      </c>
      <c r="N216">
        <v>3.9</v>
      </c>
      <c r="O216">
        <v>3</v>
      </c>
      <c r="P216">
        <v>6</v>
      </c>
      <c r="Q216">
        <v>3.7</v>
      </c>
      <c r="R216">
        <v>3.9</v>
      </c>
      <c r="S216" t="s">
        <v>6</v>
      </c>
    </row>
    <row r="217" spans="1:19">
      <c r="A217" t="s">
        <v>581</v>
      </c>
      <c r="B217">
        <v>23</v>
      </c>
      <c r="C217" t="s">
        <v>62</v>
      </c>
      <c r="D217" t="s">
        <v>91</v>
      </c>
      <c r="E217" t="s">
        <v>47</v>
      </c>
      <c r="F217" t="s">
        <v>53</v>
      </c>
      <c r="G217" t="s">
        <v>141</v>
      </c>
      <c r="H217">
        <v>137</v>
      </c>
      <c r="J217" t="s">
        <v>43</v>
      </c>
      <c r="K217">
        <v>1.8</v>
      </c>
      <c r="L217" t="s">
        <v>582</v>
      </c>
      <c r="M217">
        <v>10</v>
      </c>
      <c r="N217">
        <v>2.5</v>
      </c>
      <c r="O217">
        <v>4</v>
      </c>
      <c r="P217">
        <v>5</v>
      </c>
      <c r="Q217">
        <v>4.0999999999999996</v>
      </c>
      <c r="R217">
        <v>5.9</v>
      </c>
      <c r="S217" t="s">
        <v>6</v>
      </c>
    </row>
    <row r="218" spans="1:19">
      <c r="A218" t="s">
        <v>583</v>
      </c>
      <c r="B218">
        <v>30</v>
      </c>
      <c r="C218" t="s">
        <v>62</v>
      </c>
      <c r="D218" t="s">
        <v>113</v>
      </c>
      <c r="E218" t="s">
        <v>33</v>
      </c>
      <c r="F218" t="s">
        <v>64</v>
      </c>
      <c r="G218" t="s">
        <v>86</v>
      </c>
      <c r="H218">
        <v>8903</v>
      </c>
      <c r="I218" t="s">
        <v>36</v>
      </c>
      <c r="J218" t="s">
        <v>88</v>
      </c>
      <c r="K218">
        <v>5.7</v>
      </c>
      <c r="L218" t="s">
        <v>584</v>
      </c>
      <c r="M218">
        <v>0</v>
      </c>
      <c r="N218">
        <v>9.9</v>
      </c>
      <c r="O218">
        <v>3</v>
      </c>
      <c r="P218">
        <v>9</v>
      </c>
      <c r="Q218">
        <v>11.4</v>
      </c>
      <c r="R218">
        <v>8.4</v>
      </c>
      <c r="S218" t="s">
        <v>6</v>
      </c>
    </row>
    <row r="219" spans="1:19">
      <c r="A219" t="s">
        <v>585</v>
      </c>
      <c r="B219">
        <v>63</v>
      </c>
      <c r="C219" t="s">
        <v>62</v>
      </c>
      <c r="D219" t="s">
        <v>63</v>
      </c>
      <c r="E219" t="s">
        <v>33</v>
      </c>
      <c r="F219" t="s">
        <v>34</v>
      </c>
      <c r="G219" t="s">
        <v>586</v>
      </c>
      <c r="H219">
        <v>1405</v>
      </c>
      <c r="I219" t="s">
        <v>36</v>
      </c>
      <c r="J219" t="s">
        <v>43</v>
      </c>
      <c r="K219">
        <v>3.4</v>
      </c>
      <c r="L219" t="s">
        <v>587</v>
      </c>
      <c r="N219">
        <v>6.8</v>
      </c>
      <c r="O219">
        <v>5</v>
      </c>
      <c r="P219">
        <v>10</v>
      </c>
      <c r="Q219">
        <v>7.4</v>
      </c>
      <c r="R219">
        <v>7.5</v>
      </c>
      <c r="S219" t="s">
        <v>3</v>
      </c>
    </row>
    <row r="220" spans="1:19">
      <c r="A220" t="s">
        <v>588</v>
      </c>
      <c r="B220">
        <v>21</v>
      </c>
      <c r="C220" t="s">
        <v>62</v>
      </c>
      <c r="D220" t="s">
        <v>123</v>
      </c>
      <c r="E220" t="s">
        <v>47</v>
      </c>
      <c r="F220" t="s">
        <v>48</v>
      </c>
      <c r="G220" t="s">
        <v>589</v>
      </c>
      <c r="H220">
        <v>206</v>
      </c>
      <c r="I220" t="s">
        <v>79</v>
      </c>
      <c r="J220" t="s">
        <v>43</v>
      </c>
      <c r="K220">
        <v>9.1</v>
      </c>
      <c r="L220" t="s">
        <v>590</v>
      </c>
      <c r="M220">
        <v>30</v>
      </c>
      <c r="N220">
        <v>6.5</v>
      </c>
      <c r="O220">
        <v>3</v>
      </c>
      <c r="P220">
        <v>8</v>
      </c>
      <c r="Q220">
        <v>14.9</v>
      </c>
      <c r="R220">
        <v>5.4</v>
      </c>
      <c r="S220" t="s">
        <v>6</v>
      </c>
    </row>
    <row r="221" spans="1:19">
      <c r="A221" t="s">
        <v>591</v>
      </c>
      <c r="B221">
        <v>44</v>
      </c>
      <c r="C221" t="s">
        <v>40</v>
      </c>
      <c r="D221" t="s">
        <v>63</v>
      </c>
      <c r="E221" t="s">
        <v>33</v>
      </c>
      <c r="F221" t="s">
        <v>34</v>
      </c>
      <c r="G221" t="s">
        <v>592</v>
      </c>
      <c r="H221">
        <v>1613</v>
      </c>
      <c r="I221" t="s">
        <v>79</v>
      </c>
      <c r="J221" t="s">
        <v>138</v>
      </c>
      <c r="K221">
        <v>4.2</v>
      </c>
      <c r="L221" t="s">
        <v>593</v>
      </c>
      <c r="M221">
        <v>0</v>
      </c>
      <c r="N221">
        <v>5.9</v>
      </c>
      <c r="O221">
        <v>3</v>
      </c>
      <c r="P221">
        <v>6</v>
      </c>
      <c r="Q221">
        <v>5.6</v>
      </c>
      <c r="R221">
        <v>10</v>
      </c>
      <c r="S221" t="s">
        <v>6</v>
      </c>
    </row>
    <row r="222" spans="1:19">
      <c r="A222" t="s">
        <v>594</v>
      </c>
      <c r="B222">
        <v>31</v>
      </c>
      <c r="D222" t="s">
        <v>63</v>
      </c>
      <c r="E222" t="s">
        <v>47</v>
      </c>
      <c r="F222" t="s">
        <v>97</v>
      </c>
      <c r="G222" t="s">
        <v>595</v>
      </c>
      <c r="H222">
        <v>191</v>
      </c>
      <c r="I222" t="s">
        <v>66</v>
      </c>
      <c r="J222" t="s">
        <v>43</v>
      </c>
      <c r="K222">
        <v>1.9</v>
      </c>
      <c r="L222" t="s">
        <v>596</v>
      </c>
      <c r="M222">
        <v>0</v>
      </c>
      <c r="N222">
        <v>4.8</v>
      </c>
      <c r="O222">
        <v>4</v>
      </c>
      <c r="P222">
        <v>7</v>
      </c>
      <c r="Q222">
        <v>4.8</v>
      </c>
      <c r="R222">
        <v>5.0999999999999996</v>
      </c>
      <c r="S222" t="s">
        <v>6</v>
      </c>
    </row>
    <row r="223" spans="1:19">
      <c r="A223" t="s">
        <v>597</v>
      </c>
      <c r="B223">
        <v>23</v>
      </c>
      <c r="C223" t="s">
        <v>40</v>
      </c>
      <c r="D223" t="s">
        <v>113</v>
      </c>
      <c r="E223" t="s">
        <v>47</v>
      </c>
      <c r="F223" t="s">
        <v>97</v>
      </c>
      <c r="G223" t="s">
        <v>108</v>
      </c>
      <c r="H223">
        <v>0</v>
      </c>
      <c r="I223" t="s">
        <v>93</v>
      </c>
      <c r="J223" t="s">
        <v>102</v>
      </c>
      <c r="K223">
        <v>1.6</v>
      </c>
      <c r="L223" t="s">
        <v>598</v>
      </c>
      <c r="M223">
        <v>0</v>
      </c>
      <c r="N223">
        <v>4.5</v>
      </c>
      <c r="O223">
        <v>3</v>
      </c>
      <c r="P223">
        <v>6</v>
      </c>
      <c r="Q223">
        <v>4.2</v>
      </c>
      <c r="R223">
        <v>7</v>
      </c>
      <c r="S223" t="s">
        <v>6</v>
      </c>
    </row>
    <row r="224" spans="1:19">
      <c r="A224" t="s">
        <v>599</v>
      </c>
      <c r="B224">
        <v>33</v>
      </c>
      <c r="C224" t="s">
        <v>40</v>
      </c>
      <c r="D224" t="s">
        <v>46</v>
      </c>
      <c r="E224" t="s">
        <v>33</v>
      </c>
      <c r="F224" t="s">
        <v>34</v>
      </c>
      <c r="G224" t="s">
        <v>600</v>
      </c>
      <c r="H224">
        <v>6197</v>
      </c>
      <c r="I224" t="s">
        <v>36</v>
      </c>
      <c r="J224" t="s">
        <v>75</v>
      </c>
      <c r="K224">
        <v>1.9</v>
      </c>
      <c r="L224" t="s">
        <v>601</v>
      </c>
      <c r="N224">
        <v>5.4</v>
      </c>
      <c r="O224">
        <v>4</v>
      </c>
      <c r="P224">
        <v>7</v>
      </c>
      <c r="Q224">
        <v>6</v>
      </c>
      <c r="R224">
        <v>11</v>
      </c>
      <c r="S224" t="s">
        <v>6</v>
      </c>
    </row>
    <row r="225" spans="1:19">
      <c r="A225" t="s">
        <v>602</v>
      </c>
      <c r="B225">
        <v>16</v>
      </c>
      <c r="C225" t="s">
        <v>62</v>
      </c>
      <c r="D225" t="s">
        <v>52</v>
      </c>
      <c r="E225" t="s">
        <v>47</v>
      </c>
      <c r="F225" t="s">
        <v>48</v>
      </c>
      <c r="G225" t="s">
        <v>603</v>
      </c>
      <c r="H225">
        <v>96</v>
      </c>
      <c r="I225" t="s">
        <v>36</v>
      </c>
      <c r="J225" t="s">
        <v>102</v>
      </c>
      <c r="K225">
        <v>0.7</v>
      </c>
      <c r="L225" t="s">
        <v>604</v>
      </c>
      <c r="M225">
        <v>0</v>
      </c>
      <c r="N225">
        <v>4.3</v>
      </c>
      <c r="O225">
        <v>4</v>
      </c>
      <c r="P225">
        <v>7</v>
      </c>
      <c r="Q225">
        <v>0</v>
      </c>
      <c r="S225" t="s">
        <v>6</v>
      </c>
    </row>
    <row r="226" spans="1:19">
      <c r="A226" t="s">
        <v>605</v>
      </c>
      <c r="B226">
        <v>19</v>
      </c>
      <c r="D226" t="s">
        <v>113</v>
      </c>
      <c r="E226" t="s">
        <v>47</v>
      </c>
      <c r="F226" t="s">
        <v>53</v>
      </c>
      <c r="G226" t="s">
        <v>366</v>
      </c>
      <c r="H226">
        <v>774</v>
      </c>
      <c r="I226" t="s">
        <v>58</v>
      </c>
      <c r="J226" t="s">
        <v>37</v>
      </c>
      <c r="K226">
        <v>1.5</v>
      </c>
      <c r="L226" t="s">
        <v>606</v>
      </c>
      <c r="M226">
        <v>0</v>
      </c>
      <c r="N226">
        <v>5</v>
      </c>
      <c r="O226">
        <v>3</v>
      </c>
      <c r="P226">
        <v>6</v>
      </c>
      <c r="Q226">
        <v>2.9</v>
      </c>
      <c r="R226">
        <v>7.4</v>
      </c>
      <c r="S226" t="s">
        <v>4</v>
      </c>
    </row>
    <row r="227" spans="1:19">
      <c r="A227" t="s">
        <v>607</v>
      </c>
      <c r="B227">
        <v>32</v>
      </c>
      <c r="C227" t="s">
        <v>62</v>
      </c>
      <c r="D227" t="s">
        <v>82</v>
      </c>
      <c r="E227" t="s">
        <v>33</v>
      </c>
      <c r="F227" t="s">
        <v>97</v>
      </c>
      <c r="G227" t="s">
        <v>608</v>
      </c>
      <c r="H227">
        <v>376</v>
      </c>
      <c r="I227" t="s">
        <v>66</v>
      </c>
      <c r="J227" t="s">
        <v>59</v>
      </c>
      <c r="K227">
        <v>1.3</v>
      </c>
      <c r="L227" t="s">
        <v>609</v>
      </c>
      <c r="M227">
        <v>20</v>
      </c>
      <c r="N227">
        <v>3.3</v>
      </c>
      <c r="O227">
        <v>4</v>
      </c>
      <c r="P227">
        <v>5</v>
      </c>
      <c r="Q227">
        <v>3.2</v>
      </c>
      <c r="R227">
        <v>11.6</v>
      </c>
      <c r="S227" t="s">
        <v>3</v>
      </c>
    </row>
    <row r="228" spans="1:19">
      <c r="A228" t="s">
        <v>610</v>
      </c>
      <c r="B228">
        <v>23</v>
      </c>
      <c r="C228" t="s">
        <v>62</v>
      </c>
      <c r="D228" t="s">
        <v>41</v>
      </c>
      <c r="E228" t="s">
        <v>47</v>
      </c>
      <c r="F228" t="s">
        <v>48</v>
      </c>
      <c r="G228" t="s">
        <v>74</v>
      </c>
      <c r="H228">
        <v>0</v>
      </c>
      <c r="I228" t="s">
        <v>36</v>
      </c>
      <c r="J228" t="s">
        <v>75</v>
      </c>
      <c r="K228">
        <v>1.7</v>
      </c>
      <c r="L228" t="s">
        <v>611</v>
      </c>
      <c r="M228">
        <v>20</v>
      </c>
      <c r="N228">
        <v>2.8</v>
      </c>
      <c r="O228">
        <v>2</v>
      </c>
      <c r="P228">
        <v>3</v>
      </c>
      <c r="Q228">
        <v>2.7</v>
      </c>
      <c r="R228">
        <v>5.4</v>
      </c>
      <c r="S228" t="s">
        <v>4</v>
      </c>
    </row>
    <row r="229" spans="1:19">
      <c r="A229" t="s">
        <v>612</v>
      </c>
      <c r="B229">
        <v>22</v>
      </c>
      <c r="C229" t="s">
        <v>62</v>
      </c>
      <c r="D229" t="s">
        <v>32</v>
      </c>
      <c r="E229" t="s">
        <v>47</v>
      </c>
      <c r="F229" t="s">
        <v>97</v>
      </c>
      <c r="G229" t="s">
        <v>108</v>
      </c>
      <c r="H229">
        <v>109</v>
      </c>
      <c r="I229" t="s">
        <v>36</v>
      </c>
      <c r="J229" t="s">
        <v>71</v>
      </c>
      <c r="K229">
        <v>9.6</v>
      </c>
      <c r="L229" t="s">
        <v>613</v>
      </c>
      <c r="M229">
        <v>20</v>
      </c>
      <c r="N229">
        <v>7.3</v>
      </c>
      <c r="O229">
        <v>4</v>
      </c>
      <c r="P229">
        <v>9</v>
      </c>
      <c r="Q229">
        <v>19.399999999999999</v>
      </c>
      <c r="R229">
        <v>5.2</v>
      </c>
      <c r="S229" t="s">
        <v>6</v>
      </c>
    </row>
    <row r="230" spans="1:19">
      <c r="A230" t="s">
        <v>614</v>
      </c>
      <c r="B230">
        <v>20</v>
      </c>
      <c r="C230" t="s">
        <v>40</v>
      </c>
      <c r="D230" t="s">
        <v>52</v>
      </c>
      <c r="E230" t="s">
        <v>47</v>
      </c>
      <c r="F230" t="s">
        <v>64</v>
      </c>
      <c r="G230" t="s">
        <v>74</v>
      </c>
      <c r="H230">
        <v>0</v>
      </c>
      <c r="I230" t="s">
        <v>36</v>
      </c>
      <c r="J230" t="s">
        <v>75</v>
      </c>
      <c r="K230">
        <v>1.6</v>
      </c>
      <c r="L230" t="s">
        <v>615</v>
      </c>
      <c r="M230">
        <v>0</v>
      </c>
      <c r="N230">
        <v>5.2</v>
      </c>
      <c r="O230">
        <v>2</v>
      </c>
      <c r="P230">
        <v>5</v>
      </c>
      <c r="Q230">
        <v>5.3</v>
      </c>
      <c r="R230">
        <v>8.4</v>
      </c>
      <c r="S230" t="s">
        <v>6</v>
      </c>
    </row>
    <row r="231" spans="1:19">
      <c r="A231" t="s">
        <v>616</v>
      </c>
      <c r="B231">
        <v>40</v>
      </c>
      <c r="C231" t="s">
        <v>40</v>
      </c>
      <c r="D231" t="s">
        <v>69</v>
      </c>
      <c r="E231" t="s">
        <v>33</v>
      </c>
      <c r="F231" t="s">
        <v>97</v>
      </c>
      <c r="G231" t="s">
        <v>617</v>
      </c>
      <c r="H231">
        <v>3054</v>
      </c>
      <c r="I231" t="s">
        <v>36</v>
      </c>
      <c r="J231" t="s">
        <v>88</v>
      </c>
      <c r="K231">
        <v>1.5</v>
      </c>
      <c r="L231" t="s">
        <v>618</v>
      </c>
      <c r="M231">
        <v>0</v>
      </c>
      <c r="N231">
        <v>4</v>
      </c>
      <c r="O231">
        <v>2</v>
      </c>
      <c r="P231">
        <v>3</v>
      </c>
      <c r="Q231">
        <v>7.1</v>
      </c>
      <c r="R231">
        <v>7.6</v>
      </c>
      <c r="S231" t="s">
        <v>4</v>
      </c>
    </row>
    <row r="232" spans="1:19">
      <c r="A232" t="s">
        <v>619</v>
      </c>
      <c r="B232">
        <v>22</v>
      </c>
      <c r="C232" t="s">
        <v>62</v>
      </c>
      <c r="D232" t="s">
        <v>82</v>
      </c>
      <c r="E232" t="s">
        <v>33</v>
      </c>
      <c r="F232" t="s">
        <v>48</v>
      </c>
      <c r="G232" t="s">
        <v>35</v>
      </c>
      <c r="H232">
        <v>1091</v>
      </c>
      <c r="J232" t="s">
        <v>37</v>
      </c>
      <c r="K232">
        <v>2.4</v>
      </c>
      <c r="L232" t="s">
        <v>620</v>
      </c>
      <c r="M232">
        <v>0</v>
      </c>
      <c r="N232">
        <v>5.4</v>
      </c>
      <c r="O232">
        <v>4</v>
      </c>
      <c r="P232">
        <v>5</v>
      </c>
      <c r="Q232">
        <v>2.6</v>
      </c>
      <c r="R232">
        <v>8</v>
      </c>
      <c r="S232" t="s">
        <v>6</v>
      </c>
    </row>
    <row r="233" spans="1:19">
      <c r="A233" t="s">
        <v>621</v>
      </c>
      <c r="B233">
        <v>29</v>
      </c>
      <c r="C233" t="s">
        <v>31</v>
      </c>
      <c r="D233" t="s">
        <v>91</v>
      </c>
      <c r="E233" t="s">
        <v>33</v>
      </c>
      <c r="F233" t="s">
        <v>64</v>
      </c>
      <c r="G233" t="s">
        <v>622</v>
      </c>
      <c r="H233">
        <v>5785</v>
      </c>
      <c r="I233" t="s">
        <v>66</v>
      </c>
      <c r="J233" t="s">
        <v>37</v>
      </c>
      <c r="K233">
        <v>1.7</v>
      </c>
      <c r="L233" t="s">
        <v>623</v>
      </c>
      <c r="M233">
        <v>0</v>
      </c>
      <c r="N233">
        <v>6</v>
      </c>
      <c r="P233">
        <v>7</v>
      </c>
      <c r="Q233">
        <v>3.7</v>
      </c>
      <c r="R233">
        <v>6.4</v>
      </c>
      <c r="S233" t="s">
        <v>6</v>
      </c>
    </row>
    <row r="234" spans="1:19">
      <c r="A234" t="s">
        <v>624</v>
      </c>
      <c r="B234">
        <v>58</v>
      </c>
      <c r="C234" t="s">
        <v>62</v>
      </c>
      <c r="D234" t="s">
        <v>63</v>
      </c>
      <c r="E234" t="s">
        <v>33</v>
      </c>
      <c r="F234" t="s">
        <v>64</v>
      </c>
      <c r="G234" t="s">
        <v>625</v>
      </c>
      <c r="H234">
        <v>1469</v>
      </c>
      <c r="J234" t="s">
        <v>88</v>
      </c>
      <c r="K234">
        <v>2.2000000000000002</v>
      </c>
      <c r="L234" t="s">
        <v>626</v>
      </c>
      <c r="M234">
        <v>0</v>
      </c>
      <c r="N234">
        <v>5.7</v>
      </c>
      <c r="O234">
        <v>2</v>
      </c>
      <c r="P234">
        <v>3</v>
      </c>
      <c r="Q234">
        <v>1.3</v>
      </c>
      <c r="R234">
        <v>7.1</v>
      </c>
      <c r="S234" t="s">
        <v>6</v>
      </c>
    </row>
    <row r="235" spans="1:19">
      <c r="A235" t="s">
        <v>627</v>
      </c>
      <c r="C235" t="s">
        <v>40</v>
      </c>
      <c r="D235" t="s">
        <v>82</v>
      </c>
      <c r="E235" t="s">
        <v>47</v>
      </c>
      <c r="F235" t="s">
        <v>64</v>
      </c>
      <c r="G235" t="s">
        <v>74</v>
      </c>
      <c r="I235" t="s">
        <v>36</v>
      </c>
      <c r="J235" t="s">
        <v>75</v>
      </c>
      <c r="K235">
        <v>2.1</v>
      </c>
      <c r="L235" t="s">
        <v>628</v>
      </c>
      <c r="M235">
        <v>0</v>
      </c>
      <c r="N235">
        <v>4.7</v>
      </c>
      <c r="O235">
        <v>5</v>
      </c>
      <c r="P235">
        <v>8</v>
      </c>
      <c r="R235">
        <v>5.9</v>
      </c>
      <c r="S235" t="s">
        <v>6</v>
      </c>
    </row>
    <row r="236" spans="1:19">
      <c r="A236" t="s">
        <v>629</v>
      </c>
      <c r="B236">
        <v>38</v>
      </c>
      <c r="C236" t="s">
        <v>62</v>
      </c>
      <c r="D236" t="s">
        <v>52</v>
      </c>
      <c r="E236" t="s">
        <v>33</v>
      </c>
      <c r="F236" t="s">
        <v>48</v>
      </c>
      <c r="G236" t="s">
        <v>630</v>
      </c>
      <c r="H236">
        <v>1114</v>
      </c>
      <c r="I236" t="s">
        <v>93</v>
      </c>
      <c r="J236" t="s">
        <v>75</v>
      </c>
      <c r="L236" t="s">
        <v>631</v>
      </c>
      <c r="M236">
        <v>30</v>
      </c>
      <c r="N236">
        <v>3.8</v>
      </c>
      <c r="O236">
        <v>4</v>
      </c>
      <c r="P236">
        <v>7</v>
      </c>
      <c r="Q236">
        <v>1.5</v>
      </c>
      <c r="R236">
        <v>7.9</v>
      </c>
      <c r="S236" t="s">
        <v>6</v>
      </c>
    </row>
    <row r="237" spans="1:19">
      <c r="A237" t="s">
        <v>632</v>
      </c>
      <c r="B237">
        <v>49</v>
      </c>
      <c r="C237" t="s">
        <v>40</v>
      </c>
      <c r="D237" t="s">
        <v>52</v>
      </c>
      <c r="E237" t="s">
        <v>33</v>
      </c>
      <c r="F237" t="s">
        <v>48</v>
      </c>
      <c r="G237" t="s">
        <v>501</v>
      </c>
      <c r="H237">
        <v>1057</v>
      </c>
      <c r="I237" t="s">
        <v>36</v>
      </c>
      <c r="J237" t="s">
        <v>71</v>
      </c>
      <c r="K237">
        <v>2</v>
      </c>
      <c r="L237" t="s">
        <v>633</v>
      </c>
      <c r="M237">
        <v>25</v>
      </c>
      <c r="N237">
        <v>5.2</v>
      </c>
      <c r="O237">
        <v>5</v>
      </c>
      <c r="P237">
        <v>8</v>
      </c>
      <c r="Q237">
        <v>5.7</v>
      </c>
      <c r="R237">
        <v>7.5</v>
      </c>
      <c r="S237" t="s">
        <v>4</v>
      </c>
    </row>
    <row r="238" spans="1:19">
      <c r="A238" t="s">
        <v>634</v>
      </c>
      <c r="B238">
        <v>40</v>
      </c>
      <c r="C238" t="s">
        <v>40</v>
      </c>
      <c r="D238" t="s">
        <v>82</v>
      </c>
      <c r="E238" t="s">
        <v>33</v>
      </c>
      <c r="F238" t="s">
        <v>48</v>
      </c>
      <c r="G238" t="s">
        <v>635</v>
      </c>
      <c r="H238">
        <v>942</v>
      </c>
      <c r="I238" t="s">
        <v>87</v>
      </c>
      <c r="J238" t="s">
        <v>88</v>
      </c>
      <c r="K238">
        <v>1.3</v>
      </c>
      <c r="L238" t="s">
        <v>636</v>
      </c>
      <c r="M238">
        <v>25</v>
      </c>
      <c r="N238">
        <v>2.4</v>
      </c>
      <c r="O238">
        <v>5</v>
      </c>
      <c r="P238">
        <v>5</v>
      </c>
      <c r="Q238">
        <v>4.9000000000000004</v>
      </c>
      <c r="R238">
        <v>9.6999999999999993</v>
      </c>
      <c r="S238" t="s">
        <v>3</v>
      </c>
    </row>
    <row r="239" spans="1:19">
      <c r="A239" t="s">
        <v>637</v>
      </c>
      <c r="B239">
        <v>21</v>
      </c>
      <c r="C239" t="s">
        <v>62</v>
      </c>
      <c r="D239" t="s">
        <v>41</v>
      </c>
      <c r="E239" t="s">
        <v>47</v>
      </c>
      <c r="F239" t="s">
        <v>97</v>
      </c>
      <c r="G239" t="s">
        <v>638</v>
      </c>
      <c r="H239">
        <v>62</v>
      </c>
      <c r="I239" t="s">
        <v>36</v>
      </c>
      <c r="J239" t="s">
        <v>59</v>
      </c>
      <c r="K239">
        <v>7.2</v>
      </c>
      <c r="L239" t="s">
        <v>639</v>
      </c>
      <c r="M239">
        <v>10</v>
      </c>
      <c r="N239">
        <v>6.8</v>
      </c>
      <c r="O239">
        <v>4</v>
      </c>
      <c r="P239">
        <v>7</v>
      </c>
      <c r="Q239">
        <v>13.2</v>
      </c>
      <c r="R239">
        <v>6.1</v>
      </c>
      <c r="S239" t="s">
        <v>6</v>
      </c>
    </row>
    <row r="240" spans="1:19">
      <c r="A240" t="s">
        <v>640</v>
      </c>
      <c r="B240">
        <v>45</v>
      </c>
      <c r="C240" t="s">
        <v>62</v>
      </c>
      <c r="D240" t="s">
        <v>41</v>
      </c>
      <c r="E240" t="s">
        <v>33</v>
      </c>
      <c r="F240" t="s">
        <v>48</v>
      </c>
      <c r="G240" t="s">
        <v>208</v>
      </c>
      <c r="H240">
        <v>887</v>
      </c>
      <c r="J240" t="s">
        <v>43</v>
      </c>
      <c r="K240">
        <v>1.5</v>
      </c>
      <c r="L240" t="s">
        <v>641</v>
      </c>
      <c r="M240">
        <v>0</v>
      </c>
      <c r="N240">
        <v>5.3</v>
      </c>
      <c r="O240">
        <v>3</v>
      </c>
      <c r="P240">
        <v>5</v>
      </c>
      <c r="Q240">
        <v>5.3</v>
      </c>
      <c r="R240">
        <v>6.4</v>
      </c>
      <c r="S240" t="s">
        <v>3</v>
      </c>
    </row>
    <row r="241" spans="1:19">
      <c r="A241" t="s">
        <v>642</v>
      </c>
      <c r="B241">
        <v>27</v>
      </c>
      <c r="C241" t="s">
        <v>40</v>
      </c>
      <c r="D241" t="s">
        <v>113</v>
      </c>
      <c r="E241" t="s">
        <v>47</v>
      </c>
      <c r="F241" t="s">
        <v>48</v>
      </c>
      <c r="G241" t="s">
        <v>292</v>
      </c>
      <c r="H241">
        <v>335</v>
      </c>
      <c r="I241" t="s">
        <v>87</v>
      </c>
      <c r="J241" t="s">
        <v>43</v>
      </c>
      <c r="K241">
        <v>1.5</v>
      </c>
      <c r="L241" t="s">
        <v>643</v>
      </c>
      <c r="M241">
        <v>20</v>
      </c>
      <c r="N241">
        <v>4</v>
      </c>
      <c r="O241">
        <v>3</v>
      </c>
      <c r="P241">
        <v>6</v>
      </c>
      <c r="Q241">
        <v>4.2</v>
      </c>
      <c r="R241">
        <v>4.9000000000000004</v>
      </c>
      <c r="S241" t="s">
        <v>4</v>
      </c>
    </row>
    <row r="242" spans="1:19">
      <c r="A242" t="s">
        <v>644</v>
      </c>
      <c r="B242">
        <v>20</v>
      </c>
      <c r="C242" t="s">
        <v>62</v>
      </c>
      <c r="D242" t="s">
        <v>96</v>
      </c>
      <c r="E242" t="s">
        <v>47</v>
      </c>
      <c r="F242" t="s">
        <v>97</v>
      </c>
      <c r="G242" t="s">
        <v>108</v>
      </c>
      <c r="H242">
        <v>670</v>
      </c>
      <c r="I242" t="s">
        <v>36</v>
      </c>
      <c r="J242" t="s">
        <v>102</v>
      </c>
      <c r="K242">
        <v>3.7</v>
      </c>
      <c r="L242" t="s">
        <v>645</v>
      </c>
      <c r="M242">
        <v>30</v>
      </c>
      <c r="N242">
        <v>7.9</v>
      </c>
      <c r="P242">
        <v>9</v>
      </c>
      <c r="Q242">
        <v>7.5</v>
      </c>
      <c r="R242">
        <v>9.4</v>
      </c>
      <c r="S242" t="s">
        <v>6</v>
      </c>
    </row>
    <row r="243" spans="1:19">
      <c r="A243" t="s">
        <v>646</v>
      </c>
      <c r="B243">
        <v>56</v>
      </c>
      <c r="C243" t="s">
        <v>40</v>
      </c>
      <c r="D243" t="s">
        <v>41</v>
      </c>
      <c r="E243" t="s">
        <v>33</v>
      </c>
      <c r="F243" t="s">
        <v>97</v>
      </c>
      <c r="G243" t="s">
        <v>137</v>
      </c>
      <c r="I243" t="s">
        <v>66</v>
      </c>
      <c r="J243" t="s">
        <v>138</v>
      </c>
      <c r="K243">
        <v>5</v>
      </c>
      <c r="L243" t="s">
        <v>647</v>
      </c>
      <c r="M243">
        <v>10</v>
      </c>
      <c r="N243">
        <v>7.7</v>
      </c>
      <c r="O243">
        <v>4</v>
      </c>
      <c r="P243">
        <v>7</v>
      </c>
      <c r="Q243">
        <v>11.4</v>
      </c>
      <c r="R243">
        <v>7.8</v>
      </c>
      <c r="S243" t="s">
        <v>6</v>
      </c>
    </row>
    <row r="244" spans="1:19">
      <c r="A244" t="s">
        <v>648</v>
      </c>
      <c r="B244">
        <v>31</v>
      </c>
      <c r="C244" t="s">
        <v>62</v>
      </c>
      <c r="D244" t="s">
        <v>46</v>
      </c>
      <c r="E244" t="s">
        <v>33</v>
      </c>
      <c r="F244" t="s">
        <v>64</v>
      </c>
      <c r="G244" t="s">
        <v>86</v>
      </c>
      <c r="H244">
        <v>5355</v>
      </c>
      <c r="I244" t="s">
        <v>79</v>
      </c>
      <c r="J244" t="s">
        <v>88</v>
      </c>
      <c r="K244">
        <v>4.5999999999999996</v>
      </c>
      <c r="L244" t="s">
        <v>649</v>
      </c>
      <c r="M244">
        <v>0</v>
      </c>
      <c r="N244">
        <v>8.8000000000000007</v>
      </c>
      <c r="O244">
        <v>2</v>
      </c>
      <c r="P244">
        <v>6</v>
      </c>
      <c r="Q244">
        <v>11.5</v>
      </c>
      <c r="R244">
        <v>8.6999999999999993</v>
      </c>
      <c r="S244" t="s">
        <v>6</v>
      </c>
    </row>
    <row r="245" spans="1:19">
      <c r="A245" t="s">
        <v>650</v>
      </c>
      <c r="B245">
        <v>26</v>
      </c>
      <c r="C245" t="s">
        <v>40</v>
      </c>
      <c r="D245" t="s">
        <v>113</v>
      </c>
      <c r="E245" t="s">
        <v>47</v>
      </c>
      <c r="F245" t="s">
        <v>48</v>
      </c>
      <c r="G245" t="s">
        <v>49</v>
      </c>
      <c r="H245">
        <v>520</v>
      </c>
      <c r="I245" t="s">
        <v>36</v>
      </c>
      <c r="J245" t="s">
        <v>102</v>
      </c>
      <c r="K245">
        <v>2.7</v>
      </c>
      <c r="L245" t="s">
        <v>651</v>
      </c>
      <c r="M245">
        <v>0</v>
      </c>
      <c r="N245">
        <v>5.7</v>
      </c>
      <c r="O245">
        <v>4</v>
      </c>
      <c r="P245">
        <v>7</v>
      </c>
      <c r="Q245">
        <v>8.4</v>
      </c>
      <c r="R245">
        <v>5.4</v>
      </c>
      <c r="S245" t="s">
        <v>6</v>
      </c>
    </row>
    <row r="246" spans="1:19">
      <c r="A246" t="s">
        <v>652</v>
      </c>
      <c r="B246">
        <v>63</v>
      </c>
      <c r="C246" t="s">
        <v>40</v>
      </c>
      <c r="D246" t="s">
        <v>52</v>
      </c>
      <c r="E246" t="s">
        <v>33</v>
      </c>
      <c r="F246" t="s">
        <v>97</v>
      </c>
      <c r="H246">
        <v>1320</v>
      </c>
      <c r="I246" t="s">
        <v>66</v>
      </c>
      <c r="J246" t="s">
        <v>138</v>
      </c>
      <c r="K246">
        <v>1.7</v>
      </c>
      <c r="L246" t="s">
        <v>653</v>
      </c>
      <c r="N246">
        <v>5.2</v>
      </c>
      <c r="O246">
        <v>3</v>
      </c>
      <c r="P246">
        <v>6</v>
      </c>
      <c r="Q246">
        <v>3.5</v>
      </c>
      <c r="R246">
        <v>9.4</v>
      </c>
      <c r="S246" t="s">
        <v>6</v>
      </c>
    </row>
    <row r="247" spans="1:19">
      <c r="A247" t="s">
        <v>654</v>
      </c>
      <c r="B247">
        <v>32</v>
      </c>
      <c r="C247" t="s">
        <v>62</v>
      </c>
      <c r="D247" t="s">
        <v>91</v>
      </c>
      <c r="E247" t="s">
        <v>33</v>
      </c>
      <c r="F247" t="s">
        <v>64</v>
      </c>
      <c r="G247" t="s">
        <v>655</v>
      </c>
      <c r="H247">
        <v>4466</v>
      </c>
      <c r="I247" t="s">
        <v>36</v>
      </c>
      <c r="J247" t="s">
        <v>43</v>
      </c>
      <c r="K247">
        <v>1.2</v>
      </c>
      <c r="L247" t="s">
        <v>656</v>
      </c>
      <c r="M247">
        <v>20</v>
      </c>
      <c r="N247">
        <v>3</v>
      </c>
      <c r="O247">
        <v>2</v>
      </c>
      <c r="P247">
        <v>5</v>
      </c>
      <c r="Q247">
        <v>6.6</v>
      </c>
      <c r="R247">
        <v>6.4</v>
      </c>
      <c r="S247" t="s">
        <v>6</v>
      </c>
    </row>
    <row r="248" spans="1:19">
      <c r="A248" t="s">
        <v>657</v>
      </c>
      <c r="C248" t="s">
        <v>40</v>
      </c>
      <c r="D248" t="s">
        <v>46</v>
      </c>
      <c r="E248" t="s">
        <v>33</v>
      </c>
      <c r="F248" t="s">
        <v>48</v>
      </c>
      <c r="G248" t="s">
        <v>658</v>
      </c>
      <c r="H248">
        <v>3462</v>
      </c>
      <c r="I248" t="s">
        <v>79</v>
      </c>
      <c r="J248" t="s">
        <v>37</v>
      </c>
      <c r="K248">
        <v>4.5</v>
      </c>
      <c r="L248" t="s">
        <v>659</v>
      </c>
      <c r="M248">
        <v>0</v>
      </c>
      <c r="N248">
        <v>5.6</v>
      </c>
      <c r="O248">
        <v>4</v>
      </c>
      <c r="P248">
        <v>5</v>
      </c>
      <c r="Q248">
        <v>5.5</v>
      </c>
      <c r="R248">
        <v>6.7</v>
      </c>
      <c r="S248" t="s">
        <v>3</v>
      </c>
    </row>
    <row r="249" spans="1:19">
      <c r="A249" t="s">
        <v>660</v>
      </c>
      <c r="B249">
        <v>97</v>
      </c>
      <c r="C249" t="s">
        <v>40</v>
      </c>
      <c r="D249" t="s">
        <v>46</v>
      </c>
      <c r="E249" t="s">
        <v>33</v>
      </c>
      <c r="F249" t="s">
        <v>48</v>
      </c>
      <c r="G249" t="s">
        <v>630</v>
      </c>
      <c r="H249">
        <v>6779</v>
      </c>
      <c r="I249" t="s">
        <v>36</v>
      </c>
      <c r="J249" t="s">
        <v>59</v>
      </c>
      <c r="K249">
        <v>2.2999999999999998</v>
      </c>
      <c r="L249" t="s">
        <v>661</v>
      </c>
      <c r="M249">
        <v>0</v>
      </c>
      <c r="N249">
        <v>4.8</v>
      </c>
      <c r="O249">
        <v>3</v>
      </c>
      <c r="Q249">
        <v>2.4</v>
      </c>
      <c r="R249">
        <v>11.2</v>
      </c>
      <c r="S249" t="s">
        <v>4</v>
      </c>
    </row>
    <row r="250" spans="1:19">
      <c r="A250" t="s">
        <v>662</v>
      </c>
      <c r="B250">
        <v>39</v>
      </c>
      <c r="C250" t="s">
        <v>40</v>
      </c>
      <c r="D250" t="s">
        <v>96</v>
      </c>
      <c r="E250" t="s">
        <v>33</v>
      </c>
      <c r="F250" t="s">
        <v>34</v>
      </c>
      <c r="G250" t="s">
        <v>126</v>
      </c>
      <c r="H250">
        <v>3579</v>
      </c>
      <c r="I250" t="s">
        <v>93</v>
      </c>
      <c r="J250" t="s">
        <v>43</v>
      </c>
      <c r="K250">
        <v>4.4000000000000004</v>
      </c>
      <c r="L250" t="s">
        <v>663</v>
      </c>
      <c r="M250">
        <v>0</v>
      </c>
      <c r="N250">
        <v>7.3</v>
      </c>
      <c r="O250">
        <v>4</v>
      </c>
      <c r="P250">
        <v>7</v>
      </c>
      <c r="Q250">
        <v>5.7</v>
      </c>
      <c r="R250">
        <v>8.4</v>
      </c>
      <c r="S250" t="s">
        <v>6</v>
      </c>
    </row>
    <row r="251" spans="1:19">
      <c r="A251" t="s">
        <v>664</v>
      </c>
      <c r="B251">
        <v>23</v>
      </c>
      <c r="C251" t="s">
        <v>62</v>
      </c>
      <c r="D251" t="s">
        <v>32</v>
      </c>
      <c r="E251" t="s">
        <v>47</v>
      </c>
      <c r="F251" t="s">
        <v>48</v>
      </c>
      <c r="G251" t="s">
        <v>49</v>
      </c>
      <c r="H251">
        <v>137</v>
      </c>
      <c r="I251" t="s">
        <v>93</v>
      </c>
      <c r="K251">
        <v>1.4</v>
      </c>
      <c r="L251" t="s">
        <v>665</v>
      </c>
      <c r="M251">
        <v>25</v>
      </c>
      <c r="O251">
        <v>3</v>
      </c>
      <c r="P251">
        <v>6</v>
      </c>
      <c r="Q251">
        <v>2.2999999999999998</v>
      </c>
      <c r="S251" t="s">
        <v>4</v>
      </c>
    </row>
    <row r="252" spans="1:19">
      <c r="A252" t="s">
        <v>666</v>
      </c>
      <c r="B252">
        <v>24</v>
      </c>
      <c r="C252" t="s">
        <v>62</v>
      </c>
      <c r="D252" t="s">
        <v>123</v>
      </c>
      <c r="E252" t="s">
        <v>47</v>
      </c>
      <c r="F252" t="s">
        <v>64</v>
      </c>
      <c r="G252" t="s">
        <v>413</v>
      </c>
      <c r="H252">
        <v>0</v>
      </c>
      <c r="I252" t="s">
        <v>93</v>
      </c>
      <c r="J252" t="s">
        <v>71</v>
      </c>
      <c r="K252">
        <v>1.3</v>
      </c>
      <c r="L252" t="s">
        <v>667</v>
      </c>
      <c r="M252">
        <v>0</v>
      </c>
      <c r="N252">
        <v>5.2</v>
      </c>
      <c r="O252">
        <v>4</v>
      </c>
      <c r="P252">
        <v>7</v>
      </c>
      <c r="Q252">
        <v>2.7</v>
      </c>
      <c r="R252">
        <v>4.8</v>
      </c>
      <c r="S252" t="s">
        <v>6</v>
      </c>
    </row>
    <row r="253" spans="1:19">
      <c r="A253" t="s">
        <v>668</v>
      </c>
      <c r="B253">
        <v>35</v>
      </c>
      <c r="C253" t="s">
        <v>40</v>
      </c>
      <c r="D253" t="s">
        <v>123</v>
      </c>
      <c r="E253" t="s">
        <v>33</v>
      </c>
      <c r="F253" t="s">
        <v>48</v>
      </c>
      <c r="G253" t="s">
        <v>669</v>
      </c>
      <c r="H253">
        <v>3114</v>
      </c>
      <c r="I253" t="s">
        <v>87</v>
      </c>
      <c r="J253" t="s">
        <v>71</v>
      </c>
      <c r="K253">
        <v>5.7</v>
      </c>
      <c r="L253" t="s">
        <v>670</v>
      </c>
      <c r="M253">
        <v>0</v>
      </c>
      <c r="N253">
        <v>5.9</v>
      </c>
      <c r="O253">
        <v>3</v>
      </c>
      <c r="P253">
        <v>7</v>
      </c>
      <c r="Q253">
        <v>13.4</v>
      </c>
      <c r="R253">
        <v>9</v>
      </c>
      <c r="S253" t="s">
        <v>6</v>
      </c>
    </row>
    <row r="254" spans="1:19">
      <c r="A254" t="s">
        <v>671</v>
      </c>
      <c r="C254" t="s">
        <v>40</v>
      </c>
      <c r="D254" t="s">
        <v>96</v>
      </c>
      <c r="E254" t="s">
        <v>33</v>
      </c>
      <c r="F254" t="s">
        <v>64</v>
      </c>
      <c r="G254" t="s">
        <v>86</v>
      </c>
      <c r="H254">
        <v>6705</v>
      </c>
      <c r="I254" t="s">
        <v>255</v>
      </c>
      <c r="J254" t="s">
        <v>88</v>
      </c>
      <c r="K254">
        <v>9.6999999999999993</v>
      </c>
      <c r="L254" t="s">
        <v>672</v>
      </c>
      <c r="M254">
        <v>20</v>
      </c>
      <c r="N254">
        <v>7.7</v>
      </c>
      <c r="O254">
        <v>5</v>
      </c>
      <c r="P254">
        <v>9</v>
      </c>
      <c r="R254">
        <v>11.6</v>
      </c>
      <c r="S254" t="s">
        <v>6</v>
      </c>
    </row>
    <row r="255" spans="1:19">
      <c r="A255" t="s">
        <v>673</v>
      </c>
      <c r="B255">
        <v>46</v>
      </c>
      <c r="C255" t="s">
        <v>40</v>
      </c>
      <c r="D255" t="s">
        <v>123</v>
      </c>
      <c r="E255" t="s">
        <v>33</v>
      </c>
      <c r="F255" t="s">
        <v>64</v>
      </c>
      <c r="G255" t="s">
        <v>326</v>
      </c>
      <c r="H255">
        <v>3159</v>
      </c>
      <c r="I255" t="s">
        <v>87</v>
      </c>
      <c r="J255" t="s">
        <v>88</v>
      </c>
      <c r="K255">
        <v>1.9</v>
      </c>
      <c r="L255" t="s">
        <v>674</v>
      </c>
      <c r="M255">
        <v>0</v>
      </c>
      <c r="N255">
        <v>3.4</v>
      </c>
      <c r="P255">
        <v>7</v>
      </c>
      <c r="Q255">
        <v>4.0999999999999996</v>
      </c>
      <c r="R255">
        <v>8.6</v>
      </c>
      <c r="S255" t="s">
        <v>6</v>
      </c>
    </row>
    <row r="256" spans="1:19">
      <c r="A256" t="s">
        <v>675</v>
      </c>
      <c r="B256">
        <v>28</v>
      </c>
      <c r="C256" t="s">
        <v>62</v>
      </c>
      <c r="D256" t="s">
        <v>46</v>
      </c>
      <c r="E256" t="s">
        <v>33</v>
      </c>
      <c r="F256" t="s">
        <v>48</v>
      </c>
      <c r="G256" t="s">
        <v>208</v>
      </c>
      <c r="H256">
        <v>3610</v>
      </c>
      <c r="I256" t="s">
        <v>79</v>
      </c>
      <c r="J256" t="s">
        <v>43</v>
      </c>
      <c r="K256">
        <v>4.3</v>
      </c>
      <c r="L256" t="s">
        <v>676</v>
      </c>
      <c r="M256">
        <v>0</v>
      </c>
      <c r="N256">
        <v>6.1</v>
      </c>
      <c r="O256">
        <v>3</v>
      </c>
      <c r="P256">
        <v>7</v>
      </c>
      <c r="Q256">
        <v>6.7</v>
      </c>
      <c r="R256">
        <v>8.1</v>
      </c>
      <c r="S256" t="s">
        <v>6</v>
      </c>
    </row>
    <row r="257" spans="1:19">
      <c r="A257" t="s">
        <v>677</v>
      </c>
      <c r="B257">
        <v>39</v>
      </c>
      <c r="C257" t="s">
        <v>40</v>
      </c>
      <c r="D257" t="s">
        <v>41</v>
      </c>
      <c r="E257" t="s">
        <v>33</v>
      </c>
      <c r="F257" t="s">
        <v>64</v>
      </c>
      <c r="G257" t="s">
        <v>678</v>
      </c>
      <c r="H257">
        <v>915</v>
      </c>
      <c r="I257" t="s">
        <v>36</v>
      </c>
      <c r="J257" t="s">
        <v>88</v>
      </c>
      <c r="K257">
        <v>6</v>
      </c>
      <c r="L257" t="s">
        <v>679</v>
      </c>
      <c r="M257">
        <v>0</v>
      </c>
      <c r="N257">
        <v>10</v>
      </c>
      <c r="O257">
        <v>2</v>
      </c>
      <c r="P257">
        <v>8</v>
      </c>
      <c r="R257">
        <v>6.6</v>
      </c>
      <c r="S257" t="s">
        <v>6</v>
      </c>
    </row>
    <row r="258" spans="1:19">
      <c r="A258" t="s">
        <v>680</v>
      </c>
      <c r="B258">
        <v>41</v>
      </c>
      <c r="C258" t="s">
        <v>40</v>
      </c>
      <c r="D258" t="s">
        <v>63</v>
      </c>
      <c r="E258" t="s">
        <v>33</v>
      </c>
      <c r="F258" t="s">
        <v>97</v>
      </c>
      <c r="G258" t="s">
        <v>681</v>
      </c>
      <c r="H258">
        <v>1002</v>
      </c>
      <c r="I258" t="s">
        <v>58</v>
      </c>
      <c r="J258" t="s">
        <v>43</v>
      </c>
      <c r="K258">
        <v>4.5999999999999996</v>
      </c>
      <c r="L258" t="s">
        <v>682</v>
      </c>
      <c r="M258">
        <v>0</v>
      </c>
      <c r="N258">
        <v>7.4</v>
      </c>
      <c r="O258">
        <v>4</v>
      </c>
      <c r="P258">
        <v>7</v>
      </c>
      <c r="Q258">
        <v>7.9</v>
      </c>
      <c r="R258">
        <v>8.8000000000000007</v>
      </c>
      <c r="S258" t="s">
        <v>6</v>
      </c>
    </row>
    <row r="259" spans="1:19">
      <c r="A259" t="s">
        <v>683</v>
      </c>
      <c r="B259">
        <v>16</v>
      </c>
      <c r="C259" t="s">
        <v>40</v>
      </c>
      <c r="E259" t="s">
        <v>47</v>
      </c>
      <c r="F259" t="s">
        <v>53</v>
      </c>
      <c r="H259">
        <v>63</v>
      </c>
      <c r="I259" t="s">
        <v>87</v>
      </c>
      <c r="J259" t="s">
        <v>71</v>
      </c>
      <c r="K259">
        <v>1.9</v>
      </c>
      <c r="L259" t="s">
        <v>684</v>
      </c>
      <c r="M259">
        <v>0</v>
      </c>
      <c r="N259">
        <v>3.5</v>
      </c>
      <c r="O259">
        <v>3</v>
      </c>
      <c r="P259">
        <v>5</v>
      </c>
      <c r="Q259">
        <v>3</v>
      </c>
      <c r="R259">
        <v>5.4</v>
      </c>
      <c r="S259" t="s">
        <v>3</v>
      </c>
    </row>
    <row r="260" spans="1:19">
      <c r="A260" t="s">
        <v>685</v>
      </c>
      <c r="B260">
        <v>43</v>
      </c>
      <c r="C260" t="s">
        <v>62</v>
      </c>
      <c r="D260" t="s">
        <v>63</v>
      </c>
      <c r="E260" t="s">
        <v>33</v>
      </c>
      <c r="F260" t="s">
        <v>149</v>
      </c>
      <c r="G260" t="s">
        <v>686</v>
      </c>
      <c r="I260" t="s">
        <v>36</v>
      </c>
      <c r="J260" t="s">
        <v>43</v>
      </c>
      <c r="K260">
        <v>0.6</v>
      </c>
      <c r="L260" t="s">
        <v>687</v>
      </c>
      <c r="M260">
        <v>20</v>
      </c>
      <c r="N260">
        <v>4</v>
      </c>
      <c r="O260">
        <v>2</v>
      </c>
      <c r="P260">
        <v>5</v>
      </c>
      <c r="Q260">
        <v>0</v>
      </c>
      <c r="R260">
        <v>10.1</v>
      </c>
      <c r="S260" t="s">
        <v>3</v>
      </c>
    </row>
    <row r="261" spans="1:19">
      <c r="A261" t="s">
        <v>688</v>
      </c>
      <c r="B261">
        <v>25</v>
      </c>
      <c r="C261" t="s">
        <v>40</v>
      </c>
      <c r="D261" t="s">
        <v>52</v>
      </c>
      <c r="E261" t="s">
        <v>47</v>
      </c>
      <c r="F261" t="s">
        <v>149</v>
      </c>
      <c r="G261" t="s">
        <v>689</v>
      </c>
      <c r="H261">
        <v>60</v>
      </c>
      <c r="I261" t="s">
        <v>161</v>
      </c>
      <c r="J261" t="s">
        <v>102</v>
      </c>
      <c r="K261">
        <v>3.4</v>
      </c>
      <c r="L261" t="s">
        <v>690</v>
      </c>
      <c r="M261">
        <v>50</v>
      </c>
      <c r="N261">
        <v>4.9000000000000004</v>
      </c>
      <c r="O261">
        <v>4</v>
      </c>
      <c r="P261">
        <v>8</v>
      </c>
      <c r="Q261">
        <v>7.2</v>
      </c>
      <c r="R261">
        <v>8</v>
      </c>
      <c r="S261" t="s">
        <v>6</v>
      </c>
    </row>
    <row r="262" spans="1:19">
      <c r="A262" t="s">
        <v>691</v>
      </c>
      <c r="B262">
        <v>27</v>
      </c>
      <c r="C262" t="s">
        <v>40</v>
      </c>
      <c r="D262" t="s">
        <v>96</v>
      </c>
      <c r="E262" t="s">
        <v>47</v>
      </c>
      <c r="F262" t="s">
        <v>53</v>
      </c>
      <c r="G262" t="s">
        <v>78</v>
      </c>
      <c r="H262">
        <v>0</v>
      </c>
      <c r="I262" t="s">
        <v>93</v>
      </c>
      <c r="J262" t="s">
        <v>43</v>
      </c>
      <c r="K262">
        <v>4.9000000000000004</v>
      </c>
      <c r="L262" t="s">
        <v>692</v>
      </c>
      <c r="M262">
        <v>20</v>
      </c>
      <c r="N262">
        <v>5.8</v>
      </c>
      <c r="O262">
        <v>4</v>
      </c>
      <c r="P262">
        <v>7</v>
      </c>
      <c r="Q262">
        <v>9</v>
      </c>
      <c r="R262">
        <v>6</v>
      </c>
      <c r="S262" t="s">
        <v>6</v>
      </c>
    </row>
    <row r="263" spans="1:19">
      <c r="A263" t="s">
        <v>693</v>
      </c>
      <c r="B263">
        <v>23</v>
      </c>
      <c r="C263" t="s">
        <v>62</v>
      </c>
      <c r="D263" t="s">
        <v>52</v>
      </c>
      <c r="E263" t="s">
        <v>47</v>
      </c>
      <c r="F263" t="s">
        <v>53</v>
      </c>
      <c r="G263" t="s">
        <v>74</v>
      </c>
      <c r="I263" t="s">
        <v>36</v>
      </c>
      <c r="J263" t="s">
        <v>75</v>
      </c>
      <c r="K263">
        <v>9.6999999999999993</v>
      </c>
      <c r="L263" t="s">
        <v>694</v>
      </c>
      <c r="M263">
        <v>0</v>
      </c>
      <c r="N263">
        <v>7.5</v>
      </c>
      <c r="O263">
        <v>4</v>
      </c>
      <c r="Q263">
        <v>17.2</v>
      </c>
      <c r="R263">
        <v>4.0999999999999996</v>
      </c>
      <c r="S263" t="s">
        <v>6</v>
      </c>
    </row>
    <row r="264" spans="1:19">
      <c r="A264" t="s">
        <v>695</v>
      </c>
      <c r="B264">
        <v>19</v>
      </c>
      <c r="C264" t="s">
        <v>40</v>
      </c>
      <c r="D264" t="s">
        <v>96</v>
      </c>
      <c r="E264" t="s">
        <v>47</v>
      </c>
      <c r="F264" t="s">
        <v>53</v>
      </c>
      <c r="G264" t="s">
        <v>108</v>
      </c>
      <c r="H264">
        <v>438</v>
      </c>
      <c r="I264" t="s">
        <v>87</v>
      </c>
      <c r="K264">
        <v>4.0999999999999996</v>
      </c>
      <c r="L264" t="s">
        <v>696</v>
      </c>
      <c r="M264">
        <v>0</v>
      </c>
      <c r="N264">
        <v>4.7</v>
      </c>
      <c r="O264">
        <v>4</v>
      </c>
      <c r="P264">
        <v>7</v>
      </c>
      <c r="Q264">
        <v>9.1999999999999993</v>
      </c>
      <c r="R264">
        <v>6.2</v>
      </c>
      <c r="S264" t="s">
        <v>6</v>
      </c>
    </row>
    <row r="265" spans="1:19">
      <c r="A265" t="s">
        <v>697</v>
      </c>
      <c r="B265">
        <v>35</v>
      </c>
      <c r="C265" t="s">
        <v>40</v>
      </c>
      <c r="D265" t="s">
        <v>63</v>
      </c>
      <c r="E265" t="s">
        <v>33</v>
      </c>
      <c r="F265" t="s">
        <v>64</v>
      </c>
      <c r="G265" t="s">
        <v>698</v>
      </c>
      <c r="H265">
        <v>1367</v>
      </c>
      <c r="I265" t="s">
        <v>58</v>
      </c>
      <c r="J265" t="s">
        <v>43</v>
      </c>
      <c r="K265">
        <v>1.7</v>
      </c>
      <c r="L265" t="s">
        <v>699</v>
      </c>
      <c r="M265">
        <v>20</v>
      </c>
      <c r="N265">
        <v>5.6</v>
      </c>
      <c r="O265">
        <v>4</v>
      </c>
      <c r="P265">
        <v>5</v>
      </c>
      <c r="Q265">
        <v>6.4</v>
      </c>
      <c r="R265">
        <v>9.6</v>
      </c>
      <c r="S265" t="s">
        <v>3</v>
      </c>
    </row>
    <row r="266" spans="1:19">
      <c r="A266" t="s">
        <v>700</v>
      </c>
      <c r="B266">
        <v>25</v>
      </c>
      <c r="C266" t="s">
        <v>40</v>
      </c>
      <c r="D266" t="s">
        <v>41</v>
      </c>
      <c r="E266" t="s">
        <v>33</v>
      </c>
      <c r="F266" t="s">
        <v>64</v>
      </c>
      <c r="G266" t="s">
        <v>83</v>
      </c>
      <c r="H266">
        <v>863</v>
      </c>
      <c r="I266" t="s">
        <v>161</v>
      </c>
      <c r="J266" t="s">
        <v>75</v>
      </c>
      <c r="K266">
        <v>1.8</v>
      </c>
      <c r="L266" t="s">
        <v>701</v>
      </c>
      <c r="N266">
        <v>5.0999999999999996</v>
      </c>
      <c r="O266">
        <v>4</v>
      </c>
      <c r="P266">
        <v>6</v>
      </c>
      <c r="Q266">
        <v>2.7</v>
      </c>
      <c r="R266">
        <v>10.3</v>
      </c>
      <c r="S266" t="s">
        <v>3</v>
      </c>
    </row>
    <row r="267" spans="1:19">
      <c r="A267" t="s">
        <v>702</v>
      </c>
      <c r="B267">
        <v>28</v>
      </c>
      <c r="C267" t="s">
        <v>31</v>
      </c>
      <c r="E267" t="s">
        <v>33</v>
      </c>
      <c r="F267" t="s">
        <v>149</v>
      </c>
      <c r="G267" t="s">
        <v>703</v>
      </c>
      <c r="H267">
        <v>1208</v>
      </c>
      <c r="I267" t="s">
        <v>87</v>
      </c>
      <c r="J267" t="s">
        <v>138</v>
      </c>
      <c r="K267">
        <v>1</v>
      </c>
      <c r="L267" t="s">
        <v>704</v>
      </c>
      <c r="M267">
        <v>20</v>
      </c>
      <c r="N267">
        <v>2.6</v>
      </c>
      <c r="O267">
        <v>4</v>
      </c>
      <c r="P267">
        <v>4</v>
      </c>
      <c r="R267">
        <v>8.3000000000000007</v>
      </c>
      <c r="S267" t="s">
        <v>4</v>
      </c>
    </row>
    <row r="268" spans="1:19">
      <c r="A268" t="s">
        <v>705</v>
      </c>
      <c r="B268">
        <v>16</v>
      </c>
      <c r="C268" t="s">
        <v>40</v>
      </c>
      <c r="D268" t="s">
        <v>113</v>
      </c>
      <c r="E268" t="s">
        <v>47</v>
      </c>
      <c r="F268" t="s">
        <v>149</v>
      </c>
      <c r="H268">
        <v>707</v>
      </c>
      <c r="I268" t="s">
        <v>36</v>
      </c>
      <c r="J268" t="s">
        <v>37</v>
      </c>
      <c r="K268">
        <v>1.1000000000000001</v>
      </c>
      <c r="L268" t="s">
        <v>706</v>
      </c>
      <c r="M268">
        <v>0</v>
      </c>
      <c r="N268">
        <v>5.0999999999999996</v>
      </c>
      <c r="O268">
        <v>3</v>
      </c>
      <c r="P268">
        <v>7</v>
      </c>
      <c r="Q268">
        <v>5.0999999999999996</v>
      </c>
      <c r="R268">
        <v>4.9000000000000004</v>
      </c>
      <c r="S268" t="s">
        <v>6</v>
      </c>
    </row>
    <row r="269" spans="1:19">
      <c r="A269" t="s">
        <v>707</v>
      </c>
      <c r="B269">
        <v>31</v>
      </c>
      <c r="C269" t="s">
        <v>40</v>
      </c>
      <c r="D269" t="s">
        <v>91</v>
      </c>
      <c r="E269" t="s">
        <v>47</v>
      </c>
      <c r="F269" t="s">
        <v>53</v>
      </c>
      <c r="G269" t="s">
        <v>108</v>
      </c>
      <c r="H269">
        <v>302</v>
      </c>
      <c r="I269" t="s">
        <v>79</v>
      </c>
      <c r="J269" t="s">
        <v>102</v>
      </c>
      <c r="K269">
        <v>0.7</v>
      </c>
      <c r="L269" t="s">
        <v>708</v>
      </c>
      <c r="M269">
        <v>0</v>
      </c>
      <c r="N269">
        <v>3.4</v>
      </c>
      <c r="P269">
        <v>5</v>
      </c>
      <c r="Q269">
        <v>0.8</v>
      </c>
      <c r="R269">
        <v>4.5</v>
      </c>
      <c r="S269" t="s">
        <v>3</v>
      </c>
    </row>
    <row r="270" spans="1:19">
      <c r="A270" t="s">
        <v>709</v>
      </c>
      <c r="B270">
        <v>30</v>
      </c>
      <c r="C270" t="s">
        <v>62</v>
      </c>
      <c r="D270" t="s">
        <v>123</v>
      </c>
      <c r="E270" t="s">
        <v>33</v>
      </c>
      <c r="F270" t="s">
        <v>48</v>
      </c>
      <c r="G270" t="s">
        <v>349</v>
      </c>
      <c r="H270">
        <v>5421</v>
      </c>
      <c r="I270" t="s">
        <v>36</v>
      </c>
      <c r="J270" t="s">
        <v>138</v>
      </c>
      <c r="K270">
        <v>2</v>
      </c>
      <c r="L270" t="s">
        <v>710</v>
      </c>
      <c r="N270">
        <v>5.3</v>
      </c>
      <c r="O270">
        <v>4</v>
      </c>
      <c r="P270">
        <v>7</v>
      </c>
      <c r="Q270">
        <v>3.9</v>
      </c>
      <c r="R270">
        <v>7.3</v>
      </c>
      <c r="S270" t="s">
        <v>6</v>
      </c>
    </row>
    <row r="271" spans="1:19">
      <c r="A271" t="s">
        <v>711</v>
      </c>
      <c r="B271">
        <v>41</v>
      </c>
      <c r="C271" t="s">
        <v>62</v>
      </c>
      <c r="D271" t="s">
        <v>69</v>
      </c>
      <c r="E271" t="s">
        <v>33</v>
      </c>
      <c r="F271" t="s">
        <v>34</v>
      </c>
      <c r="G271" t="s">
        <v>712</v>
      </c>
      <c r="H271">
        <v>3795</v>
      </c>
      <c r="I271" t="s">
        <v>93</v>
      </c>
      <c r="J271" t="s">
        <v>43</v>
      </c>
      <c r="K271">
        <v>2.9</v>
      </c>
      <c r="L271" t="s">
        <v>713</v>
      </c>
      <c r="M271">
        <v>20</v>
      </c>
      <c r="N271">
        <v>7.8</v>
      </c>
      <c r="O271">
        <v>4</v>
      </c>
      <c r="P271">
        <v>6</v>
      </c>
      <c r="Q271">
        <v>8.4</v>
      </c>
      <c r="R271">
        <v>6.8</v>
      </c>
      <c r="S271" t="s">
        <v>6</v>
      </c>
    </row>
    <row r="272" spans="1:19">
      <c r="A272" t="s">
        <v>714</v>
      </c>
      <c r="B272">
        <v>24</v>
      </c>
      <c r="C272" t="s">
        <v>40</v>
      </c>
      <c r="D272" t="s">
        <v>52</v>
      </c>
      <c r="E272" t="s">
        <v>33</v>
      </c>
      <c r="F272" t="s">
        <v>64</v>
      </c>
      <c r="G272" t="s">
        <v>126</v>
      </c>
      <c r="H272">
        <v>2307</v>
      </c>
      <c r="I272" t="s">
        <v>161</v>
      </c>
      <c r="J272" t="s">
        <v>43</v>
      </c>
      <c r="K272">
        <v>0.6</v>
      </c>
      <c r="L272" t="s">
        <v>715</v>
      </c>
      <c r="M272">
        <v>0</v>
      </c>
      <c r="N272">
        <v>4.4000000000000004</v>
      </c>
      <c r="O272">
        <v>4</v>
      </c>
      <c r="P272">
        <v>7</v>
      </c>
      <c r="Q272">
        <v>1.6</v>
      </c>
      <c r="R272">
        <v>12</v>
      </c>
      <c r="S272" t="s">
        <v>6</v>
      </c>
    </row>
    <row r="273" spans="1:19">
      <c r="A273" t="s">
        <v>716</v>
      </c>
      <c r="B273">
        <v>23</v>
      </c>
      <c r="C273" t="s">
        <v>62</v>
      </c>
      <c r="D273" t="s">
        <v>52</v>
      </c>
      <c r="E273" t="s">
        <v>47</v>
      </c>
      <c r="F273" t="s">
        <v>53</v>
      </c>
      <c r="G273" t="s">
        <v>49</v>
      </c>
      <c r="H273">
        <v>77</v>
      </c>
      <c r="I273" t="s">
        <v>161</v>
      </c>
      <c r="J273" t="s">
        <v>71</v>
      </c>
      <c r="K273">
        <v>1.5</v>
      </c>
      <c r="L273" t="s">
        <v>717</v>
      </c>
      <c r="M273">
        <v>0</v>
      </c>
      <c r="N273">
        <v>3.4</v>
      </c>
      <c r="O273">
        <v>2</v>
      </c>
      <c r="P273">
        <v>4</v>
      </c>
      <c r="Q273">
        <v>2.2000000000000002</v>
      </c>
      <c r="R273">
        <v>8</v>
      </c>
      <c r="S273" t="s">
        <v>4</v>
      </c>
    </row>
    <row r="274" spans="1:19">
      <c r="A274" t="s">
        <v>718</v>
      </c>
      <c r="B274">
        <v>22</v>
      </c>
      <c r="C274" t="s">
        <v>40</v>
      </c>
      <c r="D274" t="s">
        <v>113</v>
      </c>
      <c r="E274" t="s">
        <v>47</v>
      </c>
      <c r="F274" t="s">
        <v>53</v>
      </c>
      <c r="G274" t="s">
        <v>638</v>
      </c>
      <c r="H274">
        <v>0</v>
      </c>
      <c r="I274" t="s">
        <v>36</v>
      </c>
      <c r="J274" t="s">
        <v>59</v>
      </c>
      <c r="K274">
        <v>5.9</v>
      </c>
      <c r="L274" t="s">
        <v>719</v>
      </c>
      <c r="M274">
        <v>20</v>
      </c>
      <c r="N274">
        <v>5.5</v>
      </c>
      <c r="O274">
        <v>3</v>
      </c>
      <c r="P274">
        <v>5</v>
      </c>
      <c r="Q274">
        <v>12.4</v>
      </c>
      <c r="R274">
        <v>5.7</v>
      </c>
      <c r="S274" t="s">
        <v>4</v>
      </c>
    </row>
    <row r="275" spans="1:19">
      <c r="A275" t="s">
        <v>720</v>
      </c>
      <c r="B275">
        <v>39</v>
      </c>
      <c r="C275" t="s">
        <v>40</v>
      </c>
      <c r="D275" t="s">
        <v>113</v>
      </c>
      <c r="E275" t="s">
        <v>33</v>
      </c>
      <c r="F275" t="s">
        <v>64</v>
      </c>
      <c r="G275" t="s">
        <v>35</v>
      </c>
      <c r="H275">
        <v>3204</v>
      </c>
      <c r="I275" t="s">
        <v>36</v>
      </c>
      <c r="J275" t="s">
        <v>37</v>
      </c>
      <c r="K275">
        <v>2.6</v>
      </c>
      <c r="L275" t="s">
        <v>721</v>
      </c>
      <c r="M275">
        <v>0</v>
      </c>
      <c r="O275">
        <v>3</v>
      </c>
      <c r="P275">
        <v>6</v>
      </c>
      <c r="Q275">
        <v>3.6</v>
      </c>
      <c r="R275">
        <v>9.1999999999999993</v>
      </c>
      <c r="S275" t="s">
        <v>6</v>
      </c>
    </row>
    <row r="276" spans="1:19">
      <c r="A276" t="s">
        <v>722</v>
      </c>
      <c r="C276" t="s">
        <v>62</v>
      </c>
      <c r="D276" t="s">
        <v>52</v>
      </c>
      <c r="E276" t="s">
        <v>47</v>
      </c>
      <c r="F276" t="s">
        <v>97</v>
      </c>
      <c r="G276" t="s">
        <v>723</v>
      </c>
      <c r="H276">
        <v>0</v>
      </c>
      <c r="I276" t="s">
        <v>79</v>
      </c>
      <c r="J276" t="s">
        <v>37</v>
      </c>
      <c r="K276">
        <v>2</v>
      </c>
      <c r="L276" t="s">
        <v>724</v>
      </c>
      <c r="M276">
        <v>0</v>
      </c>
      <c r="N276">
        <v>3.6</v>
      </c>
      <c r="O276">
        <v>5</v>
      </c>
      <c r="P276">
        <v>5</v>
      </c>
      <c r="Q276">
        <v>3.6</v>
      </c>
      <c r="R276">
        <v>4.4000000000000004</v>
      </c>
      <c r="S276" t="s">
        <v>3</v>
      </c>
    </row>
    <row r="277" spans="1:19">
      <c r="A277" t="s">
        <v>725</v>
      </c>
      <c r="B277">
        <v>20</v>
      </c>
      <c r="C277" t="s">
        <v>40</v>
      </c>
      <c r="D277" t="s">
        <v>160</v>
      </c>
      <c r="E277" t="s">
        <v>47</v>
      </c>
      <c r="G277" t="s">
        <v>74</v>
      </c>
      <c r="H277">
        <v>93</v>
      </c>
      <c r="I277" t="s">
        <v>36</v>
      </c>
      <c r="J277" t="s">
        <v>75</v>
      </c>
      <c r="K277">
        <v>2.2999999999999998</v>
      </c>
      <c r="L277" t="s">
        <v>726</v>
      </c>
      <c r="M277">
        <v>10</v>
      </c>
      <c r="N277">
        <v>4.2</v>
      </c>
      <c r="O277">
        <v>3</v>
      </c>
      <c r="P277">
        <v>4</v>
      </c>
      <c r="Q277">
        <v>3.4</v>
      </c>
      <c r="R277">
        <v>6.1</v>
      </c>
      <c r="S277" t="s">
        <v>4</v>
      </c>
    </row>
    <row r="278" spans="1:19">
      <c r="A278" t="s">
        <v>727</v>
      </c>
      <c r="B278">
        <v>23</v>
      </c>
      <c r="C278" t="s">
        <v>62</v>
      </c>
      <c r="D278" t="s">
        <v>123</v>
      </c>
      <c r="E278" t="s">
        <v>47</v>
      </c>
      <c r="F278" t="s">
        <v>64</v>
      </c>
      <c r="G278" t="s">
        <v>74</v>
      </c>
      <c r="H278">
        <v>504</v>
      </c>
      <c r="I278" t="s">
        <v>36</v>
      </c>
      <c r="K278">
        <v>0.6</v>
      </c>
      <c r="L278" t="s">
        <v>728</v>
      </c>
      <c r="M278">
        <v>20</v>
      </c>
      <c r="N278">
        <v>1.9</v>
      </c>
      <c r="O278">
        <v>3</v>
      </c>
      <c r="P278">
        <v>4</v>
      </c>
      <c r="Q278">
        <v>0</v>
      </c>
      <c r="R278">
        <v>4.5</v>
      </c>
      <c r="S278" t="s">
        <v>6</v>
      </c>
    </row>
    <row r="279" spans="1:19">
      <c r="A279" t="s">
        <v>729</v>
      </c>
      <c r="B279">
        <v>22</v>
      </c>
      <c r="C279" t="s">
        <v>62</v>
      </c>
      <c r="D279" t="s">
        <v>96</v>
      </c>
      <c r="E279" t="s">
        <v>47</v>
      </c>
      <c r="F279" t="s">
        <v>53</v>
      </c>
      <c r="G279" t="s">
        <v>232</v>
      </c>
      <c r="H279">
        <v>507</v>
      </c>
      <c r="I279" t="s">
        <v>87</v>
      </c>
      <c r="J279" t="s">
        <v>102</v>
      </c>
      <c r="K279">
        <v>1.9</v>
      </c>
      <c r="L279" t="s">
        <v>730</v>
      </c>
      <c r="M279">
        <v>0</v>
      </c>
      <c r="N279">
        <v>4.5999999999999996</v>
      </c>
      <c r="O279">
        <v>3</v>
      </c>
      <c r="P279">
        <v>4</v>
      </c>
      <c r="Q279">
        <v>2</v>
      </c>
      <c r="R279">
        <v>4.0999999999999996</v>
      </c>
      <c r="S279" t="s">
        <v>6</v>
      </c>
    </row>
    <row r="280" spans="1:19">
      <c r="A280" t="s">
        <v>731</v>
      </c>
      <c r="B280">
        <v>35</v>
      </c>
      <c r="C280" t="s">
        <v>62</v>
      </c>
      <c r="D280" t="s">
        <v>46</v>
      </c>
      <c r="E280" t="s">
        <v>33</v>
      </c>
      <c r="F280" t="s">
        <v>64</v>
      </c>
      <c r="G280" t="s">
        <v>184</v>
      </c>
      <c r="H280">
        <v>6399</v>
      </c>
      <c r="I280" t="s">
        <v>36</v>
      </c>
      <c r="J280" t="s">
        <v>43</v>
      </c>
      <c r="K280">
        <v>1.3</v>
      </c>
      <c r="L280" t="s">
        <v>732</v>
      </c>
      <c r="M280">
        <v>20</v>
      </c>
      <c r="N280">
        <v>3.1</v>
      </c>
      <c r="O280">
        <v>3</v>
      </c>
      <c r="P280">
        <v>4</v>
      </c>
      <c r="Q280">
        <v>4.3</v>
      </c>
      <c r="R280">
        <v>8.1</v>
      </c>
      <c r="S280" t="s">
        <v>4</v>
      </c>
    </row>
    <row r="281" spans="1:19">
      <c r="A281" t="s">
        <v>733</v>
      </c>
      <c r="B281">
        <v>28</v>
      </c>
      <c r="C281" t="s">
        <v>40</v>
      </c>
      <c r="D281" t="s">
        <v>63</v>
      </c>
      <c r="E281" t="s">
        <v>47</v>
      </c>
      <c r="F281" t="s">
        <v>48</v>
      </c>
      <c r="G281" t="s">
        <v>78</v>
      </c>
      <c r="H281">
        <v>82</v>
      </c>
      <c r="I281" t="s">
        <v>79</v>
      </c>
      <c r="J281" t="s">
        <v>43</v>
      </c>
      <c r="K281">
        <v>0.8</v>
      </c>
      <c r="L281" t="s">
        <v>734</v>
      </c>
      <c r="M281">
        <v>0</v>
      </c>
      <c r="N281">
        <v>2.1</v>
      </c>
      <c r="O281">
        <v>4</v>
      </c>
      <c r="P281">
        <v>6</v>
      </c>
      <c r="Q281">
        <v>1.2</v>
      </c>
      <c r="R281">
        <v>8.3000000000000007</v>
      </c>
      <c r="S281" t="s">
        <v>6</v>
      </c>
    </row>
    <row r="282" spans="1:19">
      <c r="A282" t="s">
        <v>735</v>
      </c>
      <c r="B282">
        <v>22</v>
      </c>
      <c r="C282" t="s">
        <v>40</v>
      </c>
      <c r="D282" t="s">
        <v>52</v>
      </c>
      <c r="E282" t="s">
        <v>47</v>
      </c>
      <c r="F282" t="s">
        <v>48</v>
      </c>
      <c r="G282" t="s">
        <v>74</v>
      </c>
      <c r="H282">
        <v>167</v>
      </c>
      <c r="I282" t="s">
        <v>36</v>
      </c>
      <c r="J282" t="s">
        <v>75</v>
      </c>
      <c r="K282">
        <v>8.6</v>
      </c>
      <c r="L282" t="s">
        <v>736</v>
      </c>
      <c r="M282">
        <v>0</v>
      </c>
      <c r="N282">
        <v>7.6</v>
      </c>
      <c r="P282">
        <v>6</v>
      </c>
      <c r="Q282">
        <v>17.7</v>
      </c>
      <c r="R282">
        <v>5.5</v>
      </c>
      <c r="S282" t="s">
        <v>4</v>
      </c>
    </row>
    <row r="283" spans="1:19">
      <c r="A283" t="s">
        <v>737</v>
      </c>
      <c r="B283">
        <v>41</v>
      </c>
      <c r="C283" t="s">
        <v>40</v>
      </c>
      <c r="D283" t="s">
        <v>96</v>
      </c>
      <c r="E283" t="s">
        <v>33</v>
      </c>
      <c r="F283" t="s">
        <v>34</v>
      </c>
      <c r="G283" t="s">
        <v>187</v>
      </c>
      <c r="H283">
        <v>3218</v>
      </c>
      <c r="I283" t="s">
        <v>58</v>
      </c>
      <c r="J283" t="s">
        <v>71</v>
      </c>
      <c r="K283">
        <v>2.7</v>
      </c>
      <c r="L283" t="s">
        <v>738</v>
      </c>
      <c r="M283">
        <v>10</v>
      </c>
      <c r="N283">
        <v>4.8</v>
      </c>
      <c r="O283">
        <v>4</v>
      </c>
      <c r="P283">
        <v>7</v>
      </c>
      <c r="Q283">
        <v>6.4</v>
      </c>
      <c r="R283">
        <v>8.6</v>
      </c>
      <c r="S283" t="s">
        <v>6</v>
      </c>
    </row>
    <row r="284" spans="1:19">
      <c r="A284" t="s">
        <v>739</v>
      </c>
      <c r="B284">
        <v>35</v>
      </c>
      <c r="C284" t="s">
        <v>62</v>
      </c>
      <c r="D284" t="s">
        <v>123</v>
      </c>
      <c r="E284" t="s">
        <v>33</v>
      </c>
      <c r="F284" t="s">
        <v>64</v>
      </c>
      <c r="G284" t="s">
        <v>349</v>
      </c>
      <c r="H284">
        <v>3513</v>
      </c>
      <c r="I284" t="s">
        <v>87</v>
      </c>
      <c r="J284" t="s">
        <v>37</v>
      </c>
      <c r="K284">
        <v>1.5</v>
      </c>
      <c r="L284" t="s">
        <v>740</v>
      </c>
      <c r="M284">
        <v>0</v>
      </c>
      <c r="O284">
        <v>4</v>
      </c>
      <c r="P284">
        <v>7</v>
      </c>
      <c r="Q284">
        <v>1.9</v>
      </c>
      <c r="R284">
        <v>8</v>
      </c>
      <c r="S284" t="s">
        <v>6</v>
      </c>
    </row>
    <row r="285" spans="1:19">
      <c r="A285" t="s">
        <v>741</v>
      </c>
      <c r="B285">
        <v>27</v>
      </c>
      <c r="C285" t="s">
        <v>40</v>
      </c>
      <c r="D285" t="s">
        <v>69</v>
      </c>
      <c r="E285" t="s">
        <v>33</v>
      </c>
      <c r="F285" t="s">
        <v>64</v>
      </c>
      <c r="G285" t="s">
        <v>742</v>
      </c>
      <c r="H285">
        <v>3622</v>
      </c>
      <c r="I285" t="s">
        <v>36</v>
      </c>
      <c r="J285" t="s">
        <v>43</v>
      </c>
      <c r="K285">
        <v>4</v>
      </c>
      <c r="L285" t="s">
        <v>743</v>
      </c>
      <c r="M285">
        <v>0</v>
      </c>
      <c r="N285">
        <v>5</v>
      </c>
      <c r="O285">
        <v>4</v>
      </c>
      <c r="P285">
        <v>6</v>
      </c>
      <c r="Q285">
        <v>5.7</v>
      </c>
      <c r="R285">
        <v>8.6</v>
      </c>
      <c r="S285" t="s">
        <v>6</v>
      </c>
    </row>
    <row r="286" spans="1:19">
      <c r="A286" t="s">
        <v>744</v>
      </c>
      <c r="B286">
        <v>35</v>
      </c>
      <c r="C286" t="s">
        <v>62</v>
      </c>
      <c r="D286" t="s">
        <v>160</v>
      </c>
      <c r="E286" t="s">
        <v>33</v>
      </c>
      <c r="F286" t="s">
        <v>64</v>
      </c>
      <c r="G286" t="s">
        <v>83</v>
      </c>
      <c r="H286">
        <v>1354</v>
      </c>
      <c r="I286" t="s">
        <v>36</v>
      </c>
      <c r="J286" t="s">
        <v>75</v>
      </c>
      <c r="K286">
        <v>5</v>
      </c>
      <c r="M286">
        <v>20</v>
      </c>
      <c r="N286">
        <v>6.2</v>
      </c>
      <c r="O286">
        <v>2</v>
      </c>
      <c r="P286">
        <v>6</v>
      </c>
      <c r="Q286">
        <v>12</v>
      </c>
      <c r="R286">
        <v>6.9</v>
      </c>
      <c r="S286" t="s">
        <v>6</v>
      </c>
    </row>
    <row r="287" spans="1:19">
      <c r="A287" t="s">
        <v>745</v>
      </c>
      <c r="B287">
        <v>28</v>
      </c>
      <c r="C287" t="s">
        <v>40</v>
      </c>
      <c r="D287" t="s">
        <v>63</v>
      </c>
      <c r="E287" t="s">
        <v>33</v>
      </c>
      <c r="F287" t="s">
        <v>48</v>
      </c>
      <c r="G287" t="s">
        <v>746</v>
      </c>
      <c r="H287">
        <v>666</v>
      </c>
      <c r="I287" t="s">
        <v>36</v>
      </c>
      <c r="J287" t="s">
        <v>88</v>
      </c>
      <c r="K287">
        <v>2.2000000000000002</v>
      </c>
      <c r="L287" t="s">
        <v>747</v>
      </c>
      <c r="M287">
        <v>0</v>
      </c>
      <c r="N287">
        <v>5.3</v>
      </c>
      <c r="O287">
        <v>4</v>
      </c>
      <c r="P287">
        <v>7</v>
      </c>
      <c r="Q287">
        <v>5.2</v>
      </c>
      <c r="R287">
        <v>8.6</v>
      </c>
      <c r="S287" t="s">
        <v>6</v>
      </c>
    </row>
    <row r="288" spans="1:19">
      <c r="A288" t="s">
        <v>748</v>
      </c>
      <c r="B288">
        <v>22</v>
      </c>
      <c r="C288" t="s">
        <v>31</v>
      </c>
      <c r="D288" t="s">
        <v>52</v>
      </c>
      <c r="E288" t="s">
        <v>47</v>
      </c>
      <c r="F288" t="s">
        <v>53</v>
      </c>
      <c r="G288" t="s">
        <v>232</v>
      </c>
      <c r="H288">
        <v>0</v>
      </c>
      <c r="I288" t="s">
        <v>58</v>
      </c>
      <c r="J288" t="s">
        <v>102</v>
      </c>
      <c r="K288">
        <v>2.4</v>
      </c>
      <c r="L288" t="s">
        <v>749</v>
      </c>
      <c r="M288">
        <v>20</v>
      </c>
      <c r="N288">
        <v>3.4</v>
      </c>
      <c r="O288">
        <v>4</v>
      </c>
      <c r="P288">
        <v>6</v>
      </c>
      <c r="Q288">
        <v>4.8</v>
      </c>
      <c r="R288">
        <v>6.2</v>
      </c>
      <c r="S288" t="s">
        <v>4</v>
      </c>
    </row>
    <row r="289" spans="1:19">
      <c r="A289" t="s">
        <v>750</v>
      </c>
      <c r="B289">
        <v>36</v>
      </c>
      <c r="C289" t="s">
        <v>62</v>
      </c>
      <c r="D289" t="s">
        <v>41</v>
      </c>
      <c r="E289" t="s">
        <v>33</v>
      </c>
      <c r="F289" t="s">
        <v>48</v>
      </c>
      <c r="G289" t="s">
        <v>751</v>
      </c>
      <c r="H289">
        <v>513</v>
      </c>
      <c r="I289" t="s">
        <v>36</v>
      </c>
      <c r="J289" t="s">
        <v>43</v>
      </c>
      <c r="K289">
        <v>3.7</v>
      </c>
      <c r="L289" t="s">
        <v>752</v>
      </c>
      <c r="M289">
        <v>0</v>
      </c>
      <c r="N289">
        <v>5.7</v>
      </c>
      <c r="O289">
        <v>2</v>
      </c>
      <c r="P289">
        <v>5</v>
      </c>
      <c r="Q289">
        <v>5.8</v>
      </c>
      <c r="R289">
        <v>10.1</v>
      </c>
      <c r="S289"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Abhinav Shirke</cp:lastModifiedBy>
  <dcterms:created xsi:type="dcterms:W3CDTF">2026-10-07T09:52:38Z</dcterms:created>
  <dcterms:modified xsi:type="dcterms:W3CDTF">2026-10-07T10:12:41Z</dcterms:modified>
</cp:coreProperties>
</file>